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742" firstSheet="4" activeTab="4"/>
  </bookViews>
  <sheets>
    <sheet name="UPFRONT 30 YRS" sheetId="1" state="hidden" r:id="rId1"/>
    <sheet name="UPFRONT 30 YRS -FSI-2 @ 50% con" sheetId="3" state="hidden" r:id="rId2"/>
    <sheet name="UPFRONT 60 YRS-FSI-2-50%-con" sheetId="4" state="hidden" r:id="rId3"/>
    <sheet name="UPFRONT 30 YRS-FSI-2-50%-co (2" sheetId="5" state="hidden" r:id="rId4"/>
    <sheet name="30 years" sheetId="8" r:id="rId5"/>
  </sheets>
  <definedNames>
    <definedName name="_xlnm.Print_Area" localSheetId="0">'UPFRONT 30 YRS'!$A$1:$I$71</definedName>
    <definedName name="_xlnm.Print_Area" localSheetId="1">'UPFRONT 30 YRS -FSI-2 @ 50% con'!$A$3:$K$90</definedName>
    <definedName name="_xlnm.Print_Area" localSheetId="3">'UPFRONT 30 YRS-FSI-2-50%-co (2'!$C$3:$L$95</definedName>
    <definedName name="_xlnm.Print_Area" localSheetId="2">'UPFRONT 60 YRS-FSI-2-50%-con'!$C$3:$L$134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H6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considering nominal rent of re.1/- per sqm p.a.)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G84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considering nominal rent of re.1/- per sqm p.a.)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J119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The Amount is given by AEM Gr. Unit 7-8 (Hardikar sir on Whatsapp group) he informed that it is given by CE Depart
</t>
        </r>
      </text>
    </comment>
    <comment ref="I128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considering nominal rent of re.1/- per sqm p.a.)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J81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The Amount is given by AEM Gr. Unit 7-8 (Hardikar sir on Whatsapp group) he informed that it is given by CE Depart
</t>
        </r>
      </text>
    </comment>
    <comment ref="H89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considering nominal rent of re.1/- per sqm p.a.)</t>
        </r>
      </text>
    </comment>
  </commentList>
</comments>
</file>

<file path=xl/sharedStrings.xml><?xml version="1.0" encoding="utf-8"?>
<sst xmlns="http://schemas.openxmlformats.org/spreadsheetml/2006/main" count="714" uniqueCount="361">
  <si>
    <t>Plot No:</t>
  </si>
  <si>
    <t>Land adjacent to Head and Neck Cancer Institute, Byculla</t>
  </si>
  <si>
    <t xml:space="preserve">       (ALL CALCULATIONS ARE SUBJECT TO AUDIT VERIFICATION)</t>
  </si>
  <si>
    <t xml:space="preserve">CALCULATION OF NPV / UPFRONT PREMIUM/RESERVE PRICE </t>
  </si>
  <si>
    <t>FOR  30 YEARS FOR LAND AREA</t>
  </si>
  <si>
    <t xml:space="preserve"> (DISCOUNTED @</t>
  </si>
  <si>
    <t>%</t>
  </si>
  <si>
    <t>PLOT AREA</t>
  </si>
  <si>
    <t xml:space="preserve">sqm </t>
  </si>
  <si>
    <t>FSI</t>
  </si>
  <si>
    <t>Total Built-up Area</t>
  </si>
  <si>
    <t>sqm</t>
  </si>
  <si>
    <t xml:space="preserve">ZONE AS PER READY RECKONER </t>
  </si>
  <si>
    <t>10/78H</t>
  </si>
  <si>
    <t>RATE AS PER SOR 2022-2027</t>
  </si>
  <si>
    <t>(FOR SLAB 01.06.2023 TO 30.09.2023</t>
  </si>
  <si>
    <t>Discounting Factor as per G-Sec rate as on 24.11.2023</t>
  </si>
  <si>
    <t>AREA IN SQM</t>
  </si>
  <si>
    <t>RATE P.M.</t>
  </si>
  <si>
    <t>RENT P.M.</t>
  </si>
  <si>
    <t>FOR NHO AREA</t>
  </si>
  <si>
    <t>RENT PER MONTH FROM 01.06.2023 TO 30.09.2023</t>
  </si>
  <si>
    <t>RENT PER MONTH FROM 01.10.2023 TO 30.09.2024</t>
  </si>
  <si>
    <t>(2%  INCREASE P.A.)</t>
  </si>
  <si>
    <t>RENT PER MONTH FROM 01.10.2024 TO 30.09.2025</t>
  </si>
  <si>
    <t>TOTAL RENT P.A.</t>
  </si>
  <si>
    <t>=</t>
  </si>
  <si>
    <t>Year</t>
  </si>
  <si>
    <t>Period</t>
  </si>
  <si>
    <t xml:space="preserve">Rent per month from </t>
  </si>
  <si>
    <t xml:space="preserve">Rent per month from  </t>
  </si>
  <si>
    <t>Rent per annum</t>
  </si>
  <si>
    <t>Discounting Factor in %</t>
  </si>
  <si>
    <t>NET PRESENT VALUE</t>
  </si>
  <si>
    <t>01 jan to 30 sep</t>
  </si>
  <si>
    <t>01 oct to 31 dec</t>
  </si>
  <si>
    <t>(1)</t>
  </si>
  <si>
    <t>(2)</t>
  </si>
  <si>
    <t>(3)</t>
  </si>
  <si>
    <t>(4)</t>
  </si>
  <si>
    <t>(5)=(3)*9+(4)*3</t>
  </si>
  <si>
    <t>(6)</t>
  </si>
  <si>
    <t>(7) = (5) X (6)</t>
  </si>
  <si>
    <t>01.01.2024</t>
  </si>
  <si>
    <t>31.12.2024</t>
  </si>
  <si>
    <t>01.01.2025</t>
  </si>
  <si>
    <t>31.12.2025</t>
  </si>
  <si>
    <t>01.01.2026</t>
  </si>
  <si>
    <t>31.12.2026</t>
  </si>
  <si>
    <t>01.01.2027</t>
  </si>
  <si>
    <t>31.12.2027</t>
  </si>
  <si>
    <t>01.01.2028</t>
  </si>
  <si>
    <t>31.12.2028</t>
  </si>
  <si>
    <t>01.01.2029</t>
  </si>
  <si>
    <t>31.12.2029</t>
  </si>
  <si>
    <t>01.01.2030</t>
  </si>
  <si>
    <t>31.12.2030</t>
  </si>
  <si>
    <t>01.01.2031</t>
  </si>
  <si>
    <t>31.12.2031</t>
  </si>
  <si>
    <t>01.01.2032</t>
  </si>
  <si>
    <t>31.12.2032</t>
  </si>
  <si>
    <t>01.01.2033</t>
  </si>
  <si>
    <t>31.12.2033</t>
  </si>
  <si>
    <t>01.01.2034</t>
  </si>
  <si>
    <t>31.12.2034</t>
  </si>
  <si>
    <t>01.01.2035</t>
  </si>
  <si>
    <t>31.12.2035</t>
  </si>
  <si>
    <t>01.01.2036</t>
  </si>
  <si>
    <t>31.12.2036</t>
  </si>
  <si>
    <t>01.01.2037</t>
  </si>
  <si>
    <t>31.12.2037</t>
  </si>
  <si>
    <t>01.01.2038</t>
  </si>
  <si>
    <t>31.12.2038</t>
  </si>
  <si>
    <t>01.01.2039</t>
  </si>
  <si>
    <t>31.12.2039</t>
  </si>
  <si>
    <t>01.01.2040</t>
  </si>
  <si>
    <t>31.12.2040</t>
  </si>
  <si>
    <t>01.01.2041</t>
  </si>
  <si>
    <t>31.12.2041</t>
  </si>
  <si>
    <t>01.01.2042</t>
  </si>
  <si>
    <t>31.12.2042</t>
  </si>
  <si>
    <t>01.01.2043</t>
  </si>
  <si>
    <t>31.12.2043</t>
  </si>
  <si>
    <t>01.01.2044</t>
  </si>
  <si>
    <t>31.12.2044</t>
  </si>
  <si>
    <t>01.01.2045</t>
  </si>
  <si>
    <t>31.12.2045</t>
  </si>
  <si>
    <t>01.01.2046</t>
  </si>
  <si>
    <t>31.12.2046</t>
  </si>
  <si>
    <t>01.01.2047</t>
  </si>
  <si>
    <t>31.12.2047</t>
  </si>
  <si>
    <t>01.01.2048</t>
  </si>
  <si>
    <t>31.12.2048</t>
  </si>
  <si>
    <t>01.01.2049</t>
  </si>
  <si>
    <t>31.12.2049</t>
  </si>
  <si>
    <t>01.01.2050</t>
  </si>
  <si>
    <t>31.12.2050</t>
  </si>
  <si>
    <t>01.01.2051</t>
  </si>
  <si>
    <t>31.12.2051</t>
  </si>
  <si>
    <t>01.01.2052</t>
  </si>
  <si>
    <t>31.12.2052</t>
  </si>
  <si>
    <t>01.01.2053</t>
  </si>
  <si>
    <t>31.12.2053</t>
  </si>
  <si>
    <t xml:space="preserve">                            Total Upfront Premium</t>
  </si>
  <si>
    <t>(approx)</t>
  </si>
  <si>
    <t>Crs</t>
  </si>
  <si>
    <t>Note :</t>
  </si>
  <si>
    <t>1 ) GST as applicable would be payable which presently is 18 % .</t>
  </si>
  <si>
    <t>2 ) Taxes/Cesses as applicable would be payable to MCGM by the Lessee.</t>
  </si>
  <si>
    <t xml:space="preserve">3 ) Security Deposit amounting to 2 years rental </t>
  </si>
  <si>
    <t>Rs.</t>
  </si>
  <si>
    <t>4 ) Charges towards execution of Lease Deed as applicable would be payable.</t>
  </si>
  <si>
    <t xml:space="preserve">5 ) Service Charges at the rate of Rs. 2 per Sq.Mtr. P.m. or as may be revised by the Board  from </t>
  </si>
  <si>
    <t xml:space="preserve">      time to time would be payable.</t>
  </si>
  <si>
    <t xml:space="preserve">6) Upfront Premium will be increased based on the FSI factor for the permissible FSI as per </t>
  </si>
  <si>
    <t xml:space="preserve">     committee constituted as per TR 122/2021</t>
  </si>
  <si>
    <t>7) Nominal rent of Rs 1 per sq. Mrs.per annum for next 30 Years</t>
  </si>
  <si>
    <t>FOR  30 YEARS FOR LAND AREA( DISCOUNTED @6.6.67%)</t>
  </si>
  <si>
    <t>Note:</t>
  </si>
  <si>
    <t xml:space="preserve">Calculation is based on 50% concession as per SOR 2022-27 clause (vi) of Factors for fixation of reserve price </t>
  </si>
  <si>
    <t>for fresh allotment based on uasge.</t>
  </si>
  <si>
    <t>RATE AT 50% CONCESSION</t>
  </si>
  <si>
    <t>Discounting Factor as per G-Sec rate as Per RBI Bulletin of Oct-2025</t>
  </si>
  <si>
    <t>RENT PER MONTH FROM 01.10.2025 TO 30.09.2026</t>
  </si>
  <si>
    <t>RENT PER MONTH FROM 01.10.2026 TO 30.09.2027</t>
  </si>
  <si>
    <t>01 Dec. to 30 Sept.</t>
  </si>
  <si>
    <t>01 Oct. to 30 Nov.</t>
  </si>
  <si>
    <t>(5)=(3)*10+(4)*2</t>
  </si>
  <si>
    <t>01.12.2025</t>
  </si>
  <si>
    <t>30.11.2026</t>
  </si>
  <si>
    <t>01.12.2026</t>
  </si>
  <si>
    <t>30.11.2027</t>
  </si>
  <si>
    <t>01.12.2027</t>
  </si>
  <si>
    <t>30.11.2028</t>
  </si>
  <si>
    <t>01.12.2028</t>
  </si>
  <si>
    <t>30.11.2029</t>
  </si>
  <si>
    <t>01.12.2029</t>
  </si>
  <si>
    <t>30.11.2030</t>
  </si>
  <si>
    <t>01.12.2030</t>
  </si>
  <si>
    <t>30.11.2031</t>
  </si>
  <si>
    <t>01.12.2031</t>
  </si>
  <si>
    <t>30.11.2032</t>
  </si>
  <si>
    <t>01.12.2032</t>
  </si>
  <si>
    <t>30.11.2033</t>
  </si>
  <si>
    <t>01.12.2033</t>
  </si>
  <si>
    <t>30.11.2034</t>
  </si>
  <si>
    <t>01.12.2034</t>
  </si>
  <si>
    <t>30.11.2035</t>
  </si>
  <si>
    <t>01.12.2035</t>
  </si>
  <si>
    <t>30.11.2036</t>
  </si>
  <si>
    <t>01.12.2036</t>
  </si>
  <si>
    <t>30.11.2037</t>
  </si>
  <si>
    <t>01.12.2037</t>
  </si>
  <si>
    <t>30.11.2038</t>
  </si>
  <si>
    <t>01.12.2038</t>
  </si>
  <si>
    <t>30.11.2039</t>
  </si>
  <si>
    <t>01.12.2039</t>
  </si>
  <si>
    <t>30.11.2040</t>
  </si>
  <si>
    <t>01.12.2040</t>
  </si>
  <si>
    <t>30.11.2041</t>
  </si>
  <si>
    <t>01.12.2041</t>
  </si>
  <si>
    <t>30.11.2042</t>
  </si>
  <si>
    <t>01.12.2042</t>
  </si>
  <si>
    <t>30.11.2043</t>
  </si>
  <si>
    <t>01.12.2043</t>
  </si>
  <si>
    <t>30.11.2044</t>
  </si>
  <si>
    <t>01.12.2044</t>
  </si>
  <si>
    <t>30.11.2045</t>
  </si>
  <si>
    <t>01.12.2045</t>
  </si>
  <si>
    <t>30.11.2046</t>
  </si>
  <si>
    <t>01.12.2046</t>
  </si>
  <si>
    <t>30.11.2047</t>
  </si>
  <si>
    <t>01.12.2047</t>
  </si>
  <si>
    <t>30.11.2048</t>
  </si>
  <si>
    <t>01.12.2048</t>
  </si>
  <si>
    <t>30.11.2049</t>
  </si>
  <si>
    <t>01.12.2049</t>
  </si>
  <si>
    <t>30.11.2050</t>
  </si>
  <si>
    <t>01.12.2050</t>
  </si>
  <si>
    <t>30.11.2051</t>
  </si>
  <si>
    <t>01.12.2051</t>
  </si>
  <si>
    <t>30.11.2052</t>
  </si>
  <si>
    <t>01.12.2052</t>
  </si>
  <si>
    <t>30.11.2053</t>
  </si>
  <si>
    <t>01.12.2053</t>
  </si>
  <si>
    <t>30.11.2054</t>
  </si>
  <si>
    <t>01.12.2054</t>
  </si>
  <si>
    <t>30.11.2055</t>
  </si>
  <si>
    <t>(X)</t>
  </si>
  <si>
    <t>Calculation of Depreciated Cost of Structure</t>
  </si>
  <si>
    <t>Built up Area of structure</t>
  </si>
  <si>
    <t xml:space="preserve">Type of building  </t>
  </si>
  <si>
    <t xml:space="preserve">RCC Pukka </t>
  </si>
  <si>
    <t>Age of building in years</t>
  </si>
  <si>
    <t>50 years</t>
  </si>
  <si>
    <t>cost of constrution of Structure per sq. Mtr. As per SOR 2022-27</t>
  </si>
  <si>
    <t>Value in percent after depreciation as per SOR 2022-27</t>
  </si>
  <si>
    <t>Depreciated cost of Structure</t>
  </si>
  <si>
    <t>(30250 x 50% x 2336.00)</t>
  </si>
  <si>
    <t>(Y)</t>
  </si>
  <si>
    <t>TOTAL UPFRONT PREMIUM  (X) +(Y)</t>
  </si>
  <si>
    <t>3 ) Security Deposit amounting to 2 years rental Rs.</t>
  </si>
  <si>
    <t>FOR  60 YEARS FOR LAND AREA</t>
  </si>
  <si>
    <t xml:space="preserve">Year of Construction </t>
  </si>
  <si>
    <t>1968-69</t>
  </si>
  <si>
    <t>Type ob Construction</t>
  </si>
  <si>
    <t>RRC Contruction</t>
  </si>
  <si>
    <t>Age of Building (in years)</t>
  </si>
  <si>
    <t>Value in Percent of Depreciation</t>
  </si>
  <si>
    <t xml:space="preserve">Cost of construction  per sq. Mtr.  (Rs.) </t>
  </si>
  <si>
    <t>Rate p.sq. mtr. of construction cost after Depreciation ( Rs.)</t>
  </si>
  <si>
    <t xml:space="preserve">(80% of Depreciated cost of PT structure based on </t>
  </si>
  <si>
    <t>age of the Building and type of building)</t>
  </si>
  <si>
    <t>Rate  per sqm  p.m.( Rs.) for P.T structure   =</t>
  </si>
  <si>
    <t xml:space="preserve">Approved Lease Rentals per sqm pm for the zone + </t>
  </si>
  <si>
    <t xml:space="preserve">(6% x 80%of cost of PT structure based on type of ldg/str </t>
  </si>
  <si>
    <t>x percentage value after depreciation on age and type of bldg / 12)</t>
  </si>
  <si>
    <t>(i.e. 5 + 6)</t>
  </si>
  <si>
    <t>RATE AT 50% CONCESSION   (7 X 50%)</t>
  </si>
  <si>
    <t>01 Oct to 30 Nov.</t>
  </si>
  <si>
    <t>01.12.2055</t>
  </si>
  <si>
    <t>30.11.2056</t>
  </si>
  <si>
    <t>01.12.2056</t>
  </si>
  <si>
    <t>30.11.2057</t>
  </si>
  <si>
    <t>01.12.2057</t>
  </si>
  <si>
    <t>30.11.2058</t>
  </si>
  <si>
    <t>01.12.2058</t>
  </si>
  <si>
    <t>30.11.2059</t>
  </si>
  <si>
    <t>01.12.2059</t>
  </si>
  <si>
    <t>30.11.2060</t>
  </si>
  <si>
    <t>01.12.2060</t>
  </si>
  <si>
    <t>30.11.2061</t>
  </si>
  <si>
    <t>01.12.2061</t>
  </si>
  <si>
    <t>30.11.2062</t>
  </si>
  <si>
    <t>01.12.2062</t>
  </si>
  <si>
    <t>30.11.2063</t>
  </si>
  <si>
    <t>01.12.2063</t>
  </si>
  <si>
    <t>30.11.2064</t>
  </si>
  <si>
    <t>01.12.2064</t>
  </si>
  <si>
    <t>30.11.2065</t>
  </si>
  <si>
    <t>01.12.2065</t>
  </si>
  <si>
    <t>30.11.2066</t>
  </si>
  <si>
    <t>01.12.2066</t>
  </si>
  <si>
    <t>30.11.2067</t>
  </si>
  <si>
    <t>01.12.2067</t>
  </si>
  <si>
    <t>30.11.2068</t>
  </si>
  <si>
    <t>01.12.2068</t>
  </si>
  <si>
    <t>30.11.2069</t>
  </si>
  <si>
    <t>01.12.2069</t>
  </si>
  <si>
    <t>30.11.2070</t>
  </si>
  <si>
    <t>01.12.2070</t>
  </si>
  <si>
    <t>30.11.2071</t>
  </si>
  <si>
    <t>01.12.2071</t>
  </si>
  <si>
    <t>30.11.2072</t>
  </si>
  <si>
    <t>01.12.2072</t>
  </si>
  <si>
    <t>30.11.2073</t>
  </si>
  <si>
    <t>01.12.2073</t>
  </si>
  <si>
    <t>30.11.2074</t>
  </si>
  <si>
    <t>01.12.2074</t>
  </si>
  <si>
    <t>30.11.2075</t>
  </si>
  <si>
    <t>01.12.2075</t>
  </si>
  <si>
    <t>30.11.2076</t>
  </si>
  <si>
    <t>01.12.2076</t>
  </si>
  <si>
    <t>30.11.2077</t>
  </si>
  <si>
    <t>01.12.2077</t>
  </si>
  <si>
    <t>30.11.2078</t>
  </si>
  <si>
    <t>01.12.2078</t>
  </si>
  <si>
    <t>30.11.2079</t>
  </si>
  <si>
    <t>01.12.2079</t>
  </si>
  <si>
    <t>30.11.2080</t>
  </si>
  <si>
    <t>01.12.2080</t>
  </si>
  <si>
    <t>30.11.2081</t>
  </si>
  <si>
    <t>01.12.2081</t>
  </si>
  <si>
    <t>30.11.2082</t>
  </si>
  <si>
    <t>01.12.2082</t>
  </si>
  <si>
    <t>30.11.2083</t>
  </si>
  <si>
    <t>01.12.2083</t>
  </si>
  <si>
    <t>30.11.2084</t>
  </si>
  <si>
    <t>01.12.2084</t>
  </si>
  <si>
    <t>30.11.2085</t>
  </si>
  <si>
    <t>Calculation of Upfront Premium including cost of repairs</t>
  </si>
  <si>
    <t>Cost of Repairs of  Structure (Rs.)</t>
  </si>
  <si>
    <t>GST on (4) above @18%</t>
  </si>
  <si>
    <t>Total Cost of Repairs including GST (4+5)</t>
  </si>
  <si>
    <t xml:space="preserve">CALCULATION OF NPV / UPFRONT PREMIUM/RESERVE PRICE FOR </t>
  </si>
  <si>
    <t>30 YEARS FOR LAND AREA DISCOUNTED @ 6.61%)</t>
  </si>
  <si>
    <t xml:space="preserve">1. Calculation is based on 50% concession as per SOR 2022-27 clause (vi) of Factors for fixation of reserve price </t>
  </si>
  <si>
    <t xml:space="preserve">   for fresh allotment based on uasge.</t>
  </si>
  <si>
    <t>2. Rate is increased at 2% annualy in every October.</t>
  </si>
  <si>
    <t>RATE PER SQ. MTR. PER MONTH AS PER SOR 2022-2027</t>
  </si>
  <si>
    <t>(FOR SLAB 01.06.2023 TO 30.09.2023)</t>
  </si>
  <si>
    <t>RATE PER SQ. MTR. PER MONTH FOR 01.10.2023 TO 01.09.2024</t>
  </si>
  <si>
    <t>RATE PER SQ. MTR. PER MONTH FOR 01.10.2024 TO 01.09.2025</t>
  </si>
  <si>
    <t>RATE PER SQ. MTR. PER MONTH FOR 01.10.2025 TO 01.09.2026</t>
  </si>
  <si>
    <t>Discounting Factor as per G-Sec rate of RBI Bulletin Nov-2025</t>
  </si>
  <si>
    <t>as on 01.10.2025)</t>
  </si>
  <si>
    <t>01 Jan. to 30 Sept.</t>
  </si>
  <si>
    <t>01 Oct to 30 Dec.</t>
  </si>
  <si>
    <t>01.01.2054</t>
  </si>
  <si>
    <t>31.12.2054</t>
  </si>
  <si>
    <t>01.01.2055</t>
  </si>
  <si>
    <t>31.12.2055</t>
  </si>
  <si>
    <t>Built up Area of structure (i.e two struictures, 15037 Sq.ft. X 2)</t>
  </si>
  <si>
    <t>Type of building  (construction year 1968-69)</t>
  </si>
  <si>
    <t>Depreciated cost of structure (30250*44%*2793.94)</t>
  </si>
  <si>
    <t>Cost of Repairs of  Structure (including GST)</t>
  </si>
  <si>
    <t>Total Cost of Structure (6+7)</t>
  </si>
  <si>
    <t>1 ) GST as applicable would be payable which presently is 18 % on the all above amount.</t>
  </si>
  <si>
    <t xml:space="preserve">       (ALL THE CALCULATIONS ARE SUBJECT TO AUDIT VERIFICATION)</t>
  </si>
  <si>
    <t>10 YEARS FOR LAND AREA DISCOUNTED @ 6.77%)</t>
  </si>
  <si>
    <t>:</t>
  </si>
  <si>
    <t>Sewree Timber Pond</t>
  </si>
  <si>
    <t>1. All the calculatiuons are subject to audit / verification</t>
  </si>
  <si>
    <t>2. Calculation is done as per the rate SOR 2022-27 Clause (vii) Open Ground, Sport Complex, (only 10% of construction is allowed) -</t>
  </si>
  <si>
    <t xml:space="preserve">    40% of SoR for open area only.</t>
  </si>
  <si>
    <t>3.The Rate is increased by 2% annualy every October.</t>
  </si>
  <si>
    <t>4. Rate applicable for 90% of area (i.e 108000) is at 40% of SOR rate and remaining 10 % (i.e. 12000)  is 100 % of SOR rate.</t>
  </si>
  <si>
    <t>11/86B</t>
  </si>
  <si>
    <t>Rate -100%</t>
  </si>
  <si>
    <t>Rate-40%</t>
  </si>
  <si>
    <t>RATE PER SQ. MTR. PER MONTH FOR 01.06.2023 TO 30.09.2023</t>
  </si>
  <si>
    <t>RATE PER SQ. MTR. PER MONTH FOR 01.10.2023 TO 30.09.2024</t>
  </si>
  <si>
    <t>RATE PER SQ. MTR. PER MONTH FOR 01.10.2024 TO 30.09.2025</t>
  </si>
  <si>
    <t>RATE PER SQ. MTR. PER MONTH FOR 01.10.2025 TO 30.09.2026</t>
  </si>
  <si>
    <t>RATE PER SQ. MTR. PER MONTH FOR 01.10.2026 TO 30.09.2027</t>
  </si>
  <si>
    <t>Discounting Factor as per G-Sec rate of RBI Bulletin Mar-2026</t>
  </si>
  <si>
    <t>SR. NO.</t>
  </si>
  <si>
    <t>(1+2)</t>
  </si>
  <si>
    <t>01 May. to 30 Sept.</t>
  </si>
  <si>
    <t>01 Oct to 30 Apr.</t>
  </si>
  <si>
    <t>(5)=(3)*5+(4)*7</t>
  </si>
  <si>
    <t>01.05.2026</t>
  </si>
  <si>
    <t>30.04.2027</t>
  </si>
  <si>
    <t>01.05.2027</t>
  </si>
  <si>
    <t>30.04.2028</t>
  </si>
  <si>
    <t>01.05.2028</t>
  </si>
  <si>
    <t>30.04.2029</t>
  </si>
  <si>
    <t>01.05.2029</t>
  </si>
  <si>
    <t>30.04.2030</t>
  </si>
  <si>
    <t>01.05.2030</t>
  </si>
  <si>
    <t>30.04.2031</t>
  </si>
  <si>
    <t>01.05.2031</t>
  </si>
  <si>
    <t>30.04.2032</t>
  </si>
  <si>
    <t>01.05.2032</t>
  </si>
  <si>
    <t>30.04.2033</t>
  </si>
  <si>
    <t>01.05.2033</t>
  </si>
  <si>
    <t>30.04.2034</t>
  </si>
  <si>
    <t>01.05.2034</t>
  </si>
  <si>
    <t>30.04.2035</t>
  </si>
  <si>
    <t>01.05.2035</t>
  </si>
  <si>
    <t>30.04.2036</t>
  </si>
  <si>
    <t>1 ) GST is applicable at the prevailing rate (currently 18 %) on the all aforementioned amount.</t>
  </si>
  <si>
    <t>2 ) All Taxes/Cesses, as applicable, shall be payable by the lessee to MCGM.</t>
  </si>
  <si>
    <t>3 ) All Charges related to execution/registration of the Lease Deed, as applicable,shall be borne by the lessee.</t>
  </si>
  <si>
    <t xml:space="preserve">4 ) Service Charges shall be payable at the rate of Rs. 2 per Sq.Mtr. P.M., or as may be revised </t>
  </si>
  <si>
    <t xml:space="preserve">     by the Board  from time to time.</t>
  </si>
  <si>
    <t xml:space="preserve">5) The Upfront Premium is subject to increase based on the FSI factor for permissible FSI, as determined by </t>
  </si>
  <si>
    <t xml:space="preserve">     the committee constituted under TR 122/2021</t>
  </si>
  <si>
    <t>6 ) A Nominal rent of Rs 1 per sq. Mtr.per annum shall be applicable for the next 30 Years.</t>
  </si>
  <si>
    <t>7) A security Deposit equivalent to 2 years' rent (nominal rent Rs. 1)  amounting to Rs.</t>
  </si>
  <si>
    <t xml:space="preserve">     shall be payable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</si>
</sst>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"/>
    <numFmt numFmtId="181" formatCode="dd\/mm\/yyyy"/>
    <numFmt numFmtId="182" formatCode="mmm/yy"/>
    <numFmt numFmtId="183" formatCode="0.0000"/>
    <numFmt numFmtId="184" formatCode="0.00000"/>
  </numFmts>
  <fonts count="50"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Calibri"/>
      <charset val="134"/>
      <scheme val="minor"/>
    </font>
    <font>
      <sz val="8"/>
      <name val="Arial"/>
      <charset val="134"/>
    </font>
    <font>
      <b/>
      <sz val="10"/>
      <name val="Arial"/>
      <charset val="134"/>
    </font>
    <font>
      <sz val="14"/>
      <name val="Arial"/>
      <charset val="134"/>
    </font>
    <font>
      <sz val="12"/>
      <name val="Calibri"/>
      <charset val="134"/>
    </font>
    <font>
      <sz val="12"/>
      <color theme="1"/>
      <name val="Calibri"/>
      <charset val="134"/>
      <scheme val="minor"/>
    </font>
    <font>
      <sz val="12"/>
      <color indexed="8"/>
      <name val="Book Antiqua"/>
      <charset val="134"/>
    </font>
    <font>
      <b/>
      <sz val="10"/>
      <color indexed="8"/>
      <name val="Arial"/>
      <charset val="134"/>
    </font>
    <font>
      <sz val="9"/>
      <color indexed="8"/>
      <name val="Book Antiqua"/>
      <charset val="134"/>
    </font>
    <font>
      <sz val="9.6"/>
      <color indexed="8"/>
      <name val="Book Antiqua"/>
      <charset val="134"/>
    </font>
    <font>
      <b/>
      <u/>
      <sz val="12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name val="Calibri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b/>
      <u/>
      <sz val="10"/>
      <name val="Arial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ourier"/>
      <charset val="134"/>
    </font>
    <font>
      <sz val="10"/>
      <color indexed="8"/>
      <name val="MS Sans Serif"/>
      <charset val="134"/>
    </font>
    <font>
      <b/>
      <sz val="9"/>
      <name val="Tahoma"/>
      <charset val="134"/>
    </font>
    <font>
      <b/>
      <sz val="9"/>
      <name val="Tahoma"/>
      <charset val="1"/>
    </font>
    <font>
      <sz val="9"/>
      <name val="Tahoma"/>
      <charset val="134"/>
    </font>
    <font>
      <sz val="9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3" borderId="2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28" applyNumberFormat="0" applyAlignment="0" applyProtection="0">
      <alignment vertical="center"/>
    </xf>
    <xf numFmtId="0" fontId="34" fillId="5" borderId="29" applyNumberFormat="0" applyAlignment="0" applyProtection="0">
      <alignment vertical="center"/>
    </xf>
    <xf numFmtId="0" fontId="35" fillId="5" borderId="28" applyNumberFormat="0" applyAlignment="0" applyProtection="0">
      <alignment vertical="center"/>
    </xf>
    <xf numFmtId="0" fontId="36" fillId="6" borderId="30" applyNumberFormat="0" applyAlignment="0" applyProtection="0">
      <alignment vertical="center"/>
    </xf>
    <xf numFmtId="0" fontId="37" fillId="0" borderId="31" applyNumberFormat="0" applyFill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4" fillId="0" borderId="0"/>
    <xf numFmtId="0" fontId="45" fillId="0" borderId="0"/>
  </cellStyleXfs>
  <cellXfs count="170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 applyAlignment="1"/>
    <xf numFmtId="0" fontId="5" fillId="0" borderId="0" xfId="0" applyFont="1" applyBorder="1"/>
    <xf numFmtId="0" fontId="6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Fill="1" applyBorder="1"/>
    <xf numFmtId="0" fontId="2" fillId="0" borderId="2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/>
    <xf numFmtId="180" fontId="7" fillId="0" borderId="0" xfId="0" applyNumberFormat="1" applyFont="1" applyFill="1" applyBorder="1" applyAlignment="1" applyProtection="1">
      <alignment horizontal="left"/>
    </xf>
    <xf numFmtId="0" fontId="2" fillId="0" borderId="5" xfId="0" applyFont="1" applyBorder="1" applyAlignment="1"/>
    <xf numFmtId="181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4" xfId="0" applyFont="1" applyFill="1" applyBorder="1" applyAlignment="1"/>
    <xf numFmtId="0" fontId="7" fillId="0" borderId="0" xfId="0" applyFont="1" applyFill="1" applyBorder="1" applyAlignment="1">
      <alignment horizontal="left"/>
    </xf>
    <xf numFmtId="0" fontId="0" fillId="0" borderId="5" xfId="0" applyBorder="1"/>
    <xf numFmtId="181" fontId="10" fillId="0" borderId="0" xfId="0" applyNumberFormat="1" applyFont="1" applyAlignment="1">
      <alignment horizontal="left" vertical="center"/>
    </xf>
    <xf numFmtId="0" fontId="2" fillId="0" borderId="6" xfId="0" applyFont="1" applyBorder="1" applyAlignment="1"/>
    <xf numFmtId="0" fontId="2" fillId="0" borderId="7" xfId="0" applyFont="1" applyBorder="1" applyAlignment="1"/>
    <xf numFmtId="180" fontId="7" fillId="0" borderId="7" xfId="0" applyNumberFormat="1" applyFont="1" applyFill="1" applyBorder="1" applyAlignment="1" applyProtection="1">
      <alignment horizontal="left"/>
    </xf>
    <xf numFmtId="0" fontId="2" fillId="0" borderId="8" xfId="0" applyFont="1" applyBorder="1" applyAlignment="1"/>
    <xf numFmtId="0" fontId="11" fillId="0" borderId="0" xfId="0" applyFont="1" applyAlignment="1">
      <alignment horizontal="left" vertical="center"/>
    </xf>
    <xf numFmtId="0" fontId="2" fillId="0" borderId="1" xfId="0" applyFont="1" applyBorder="1" applyAlignment="1"/>
    <xf numFmtId="182" fontId="2" fillId="0" borderId="3" xfId="0" applyNumberFormat="1" applyFont="1" applyBorder="1" applyAlignment="1">
      <alignment horizontal="right"/>
    </xf>
    <xf numFmtId="2" fontId="2" fillId="0" borderId="0" xfId="0" applyNumberFormat="1" applyFont="1" applyBorder="1" applyAlignment="1"/>
    <xf numFmtId="2" fontId="2" fillId="0" borderId="5" xfId="0" applyNumberFormat="1" applyFont="1" applyFill="1" applyBorder="1" applyAlignment="1"/>
    <xf numFmtId="0" fontId="2" fillId="0" borderId="6" xfId="0" applyFont="1" applyFill="1" applyBorder="1" applyAlignment="1"/>
    <xf numFmtId="0" fontId="0" fillId="0" borderId="7" xfId="0" applyBorder="1"/>
    <xf numFmtId="2" fontId="7" fillId="0" borderId="8" xfId="0" applyNumberFormat="1" applyFont="1" applyBorder="1"/>
    <xf numFmtId="0" fontId="2" fillId="0" borderId="0" xfId="0" applyFont="1" applyFill="1" applyBorder="1" applyAlignment="1"/>
    <xf numFmtId="0" fontId="0" fillId="0" borderId="0" xfId="0" applyBorder="1"/>
    <xf numFmtId="2" fontId="7" fillId="0" borderId="0" xfId="0" applyNumberFormat="1" applyFont="1" applyBorder="1"/>
    <xf numFmtId="0" fontId="12" fillId="0" borderId="0" xfId="0" applyFont="1" applyFill="1" applyBorder="1" applyAlignment="1"/>
    <xf numFmtId="0" fontId="13" fillId="0" borderId="0" xfId="0" applyFont="1" applyBorder="1"/>
    <xf numFmtId="9" fontId="14" fillId="0" borderId="0" xfId="0" applyNumberFormat="1" applyFont="1" applyAlignment="1">
      <alignment horizontal="center" vertical="center"/>
    </xf>
    <xf numFmtId="0" fontId="0" fillId="0" borderId="2" xfId="0" applyBorder="1"/>
    <xf numFmtId="2" fontId="7" fillId="0" borderId="9" xfId="0" applyNumberFormat="1" applyFont="1" applyBorder="1"/>
    <xf numFmtId="2" fontId="2" fillId="0" borderId="3" xfId="0" applyNumberFormat="1" applyFont="1" applyBorder="1" applyAlignment="1"/>
    <xf numFmtId="2" fontId="7" fillId="0" borderId="10" xfId="0" applyNumberFormat="1" applyFont="1" applyBorder="1"/>
    <xf numFmtId="2" fontId="7" fillId="0" borderId="5" xfId="0" applyNumberFormat="1" applyFont="1" applyBorder="1"/>
    <xf numFmtId="2" fontId="2" fillId="0" borderId="7" xfId="0" applyNumberFormat="1" applyFont="1" applyBorder="1" applyAlignment="1">
      <alignment horizontal="right"/>
    </xf>
    <xf numFmtId="2" fontId="7" fillId="0" borderId="11" xfId="0" applyNumberFormat="1" applyFont="1" applyBorder="1"/>
    <xf numFmtId="2" fontId="2" fillId="0" borderId="0" xfId="0" applyNumberFormat="1" applyFont="1" applyBorder="1" applyAlignment="1">
      <alignment horizontal="right"/>
    </xf>
    <xf numFmtId="9" fontId="2" fillId="0" borderId="0" xfId="0" applyNumberFormat="1" applyFont="1" applyBorder="1" applyAlignment="1"/>
    <xf numFmtId="0" fontId="15" fillId="0" borderId="0" xfId="0" applyFont="1" applyBorder="1" applyAlignment="1"/>
    <xf numFmtId="2" fontId="15" fillId="0" borderId="0" xfId="0" applyNumberFormat="1" applyFont="1" applyFill="1" applyBorder="1" applyAlignment="1"/>
    <xf numFmtId="0" fontId="15" fillId="0" borderId="0" xfId="0" applyFont="1" applyBorder="1" applyAlignment="1">
      <alignment horizontal="left"/>
    </xf>
    <xf numFmtId="2" fontId="2" fillId="0" borderId="0" xfId="0" applyNumberFormat="1" applyFont="1" applyFill="1" applyBorder="1" applyAlignment="1"/>
    <xf numFmtId="0" fontId="2" fillId="0" borderId="0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/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0" fillId="0" borderId="14" xfId="0" applyNumberFormat="1" applyBorder="1"/>
    <xf numFmtId="2" fontId="2" fillId="0" borderId="12" xfId="0" applyNumberFormat="1" applyFont="1" applyBorder="1" applyAlignment="1">
      <alignment horizontal="center" vertical="center"/>
    </xf>
    <xf numFmtId="2" fontId="0" fillId="0" borderId="8" xfId="0" applyNumberFormat="1" applyBorder="1"/>
    <xf numFmtId="0" fontId="16" fillId="0" borderId="0" xfId="0" applyFont="1" applyBorder="1" applyAlignment="1"/>
    <xf numFmtId="2" fontId="16" fillId="0" borderId="0" xfId="0" applyNumberFormat="1" applyFont="1" applyBorder="1" applyAlignment="1"/>
    <xf numFmtId="2" fontId="0" fillId="0" borderId="0" xfId="0" applyNumberFormat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7" fillId="0" borderId="9" xfId="0" applyFont="1" applyBorder="1" applyAlignment="1">
      <alignment vertical="center" wrapText="1"/>
    </xf>
    <xf numFmtId="0" fontId="17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7" fillId="0" borderId="9" xfId="0" applyFont="1" applyBorder="1" applyAlignment="1">
      <alignment horizontal="justify" vertical="center"/>
    </xf>
    <xf numFmtId="0" fontId="0" fillId="0" borderId="11" xfId="0" applyBorder="1"/>
    <xf numFmtId="0" fontId="0" fillId="0" borderId="6" xfId="0" applyBorder="1"/>
    <xf numFmtId="0" fontId="0" fillId="0" borderId="8" xfId="0" applyBorder="1"/>
    <xf numFmtId="0" fontId="17" fillId="0" borderId="11" xfId="0" applyFont="1" applyBorder="1" applyAlignment="1">
      <alignment vertical="center" wrapText="1"/>
    </xf>
    <xf numFmtId="0" fontId="2" fillId="0" borderId="11" xfId="0" applyFont="1" applyBorder="1" applyAlignment="1"/>
    <xf numFmtId="2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18" fillId="0" borderId="12" xfId="0" applyNumberFormat="1" applyFont="1" applyBorder="1" applyAlignment="1">
      <alignment horizontal="center"/>
    </xf>
    <xf numFmtId="2" fontId="18" fillId="0" borderId="0" xfId="0" applyNumberFormat="1" applyFont="1" applyAlignment="1">
      <alignment horizontal="center"/>
    </xf>
    <xf numFmtId="2" fontId="17" fillId="0" borderId="12" xfId="0" applyNumberFormat="1" applyFont="1" applyBorder="1" applyAlignment="1">
      <alignment horizontal="center"/>
    </xf>
    <xf numFmtId="183" fontId="2" fillId="0" borderId="12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right"/>
    </xf>
    <xf numFmtId="2" fontId="18" fillId="0" borderId="14" xfId="0" applyNumberFormat="1" applyFont="1" applyBorder="1" applyAlignment="1">
      <alignment horizontal="center"/>
    </xf>
    <xf numFmtId="184" fontId="17" fillId="0" borderId="12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7" xfId="0" applyFont="1" applyBorder="1" applyAlignment="1"/>
    <xf numFmtId="0" fontId="2" fillId="0" borderId="18" xfId="0" applyFont="1" applyBorder="1" applyAlignment="1"/>
    <xf numFmtId="0" fontId="19" fillId="0" borderId="19" xfId="0" applyFont="1" applyBorder="1" applyAlignment="1"/>
    <xf numFmtId="0" fontId="0" fillId="0" borderId="18" xfId="0" applyBorder="1"/>
    <xf numFmtId="2" fontId="17" fillId="0" borderId="18" xfId="0" applyNumberFormat="1" applyFont="1" applyBorder="1" applyAlignment="1">
      <alignment horizontal="center"/>
    </xf>
    <xf numFmtId="0" fontId="16" fillId="0" borderId="20" xfId="0" applyFont="1" applyBorder="1" applyAlignment="1"/>
    <xf numFmtId="2" fontId="16" fillId="0" borderId="2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14" fillId="0" borderId="0" xfId="0" applyFont="1"/>
    <xf numFmtId="0" fontId="14" fillId="0" borderId="0" xfId="0" applyFont="1" applyBorder="1"/>
    <xf numFmtId="0" fontId="14" fillId="0" borderId="0" xfId="0" applyFont="1" applyFill="1" applyBorder="1"/>
    <xf numFmtId="2" fontId="15" fillId="0" borderId="0" xfId="0" applyNumberFormat="1" applyFont="1" applyBorder="1" applyAlignment="1">
      <alignment horizontal="right"/>
    </xf>
    <xf numFmtId="2" fontId="14" fillId="0" borderId="0" xfId="0" applyNumberFormat="1" applyFont="1" applyAlignment="1">
      <alignment horizontal="left"/>
    </xf>
    <xf numFmtId="0" fontId="2" fillId="0" borderId="0" xfId="0" applyFont="1" applyAlignment="1"/>
    <xf numFmtId="180" fontId="7" fillId="0" borderId="0" xfId="0" applyNumberFormat="1" applyFont="1" applyFill="1" applyAlignment="1" applyProtection="1">
      <alignment horizontal="center"/>
    </xf>
    <xf numFmtId="0" fontId="2" fillId="0" borderId="0" xfId="0" applyFont="1" applyFill="1" applyAlignment="1"/>
    <xf numFmtId="0" fontId="7" fillId="0" borderId="0" xfId="0" applyFont="1" applyFill="1" applyAlignment="1">
      <alignment horizontal="center"/>
    </xf>
    <xf numFmtId="182" fontId="2" fillId="0" borderId="0" xfId="0" applyNumberFormat="1" applyFont="1" applyBorder="1" applyAlignment="1">
      <alignment horizontal="right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2" fontId="18" fillId="0" borderId="9" xfId="0" applyNumberFormat="1" applyFont="1" applyBorder="1" applyAlignment="1">
      <alignment horizontal="center"/>
    </xf>
    <xf numFmtId="184" fontId="17" fillId="0" borderId="9" xfId="0" applyNumberFormat="1" applyFont="1" applyBorder="1" applyAlignment="1">
      <alignment horizontal="center"/>
    </xf>
    <xf numFmtId="0" fontId="2" fillId="0" borderId="22" xfId="0" applyFont="1" applyBorder="1" applyAlignment="1"/>
    <xf numFmtId="0" fontId="2" fillId="0" borderId="23" xfId="0" applyFont="1" applyBorder="1" applyAlignment="1"/>
    <xf numFmtId="0" fontId="19" fillId="0" borderId="23" xfId="0" applyFont="1" applyBorder="1" applyAlignment="1"/>
    <xf numFmtId="2" fontId="17" fillId="0" borderId="23" xfId="0" applyNumberFormat="1" applyFont="1" applyBorder="1" applyAlignment="1">
      <alignment horizontal="center"/>
    </xf>
    <xf numFmtId="0" fontId="16" fillId="0" borderId="24" xfId="0" applyFont="1" applyBorder="1" applyAlignment="1"/>
    <xf numFmtId="0" fontId="1" fillId="0" borderId="0" xfId="0" applyFont="1" applyBorder="1" applyAlignment="1">
      <alignment vertical="center"/>
    </xf>
    <xf numFmtId="0" fontId="20" fillId="0" borderId="0" xfId="0" applyFont="1" applyBorder="1" applyAlignment="1">
      <alignment horizontal="left" vertical="center"/>
    </xf>
    <xf numFmtId="2" fontId="1" fillId="0" borderId="0" xfId="0" applyNumberFormat="1" applyFont="1" applyBorder="1" applyAlignment="1">
      <alignment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21" fillId="0" borderId="0" xfId="49" applyFont="1" applyFill="1" applyBorder="1" applyAlignment="1">
      <alignment horizontal="left" vertical="center"/>
    </xf>
    <xf numFmtId="182" fontId="22" fillId="0" borderId="0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/>
    </xf>
    <xf numFmtId="0" fontId="22" fillId="0" borderId="0" xfId="0" applyFont="1" applyBorder="1" applyAlignment="1">
      <alignment horizontal="left" vertical="center" wrapText="1"/>
    </xf>
    <xf numFmtId="182" fontId="22" fillId="0" borderId="0" xfId="0" applyNumberFormat="1" applyFont="1" applyFill="1" applyBorder="1" applyAlignment="1">
      <alignment horizontal="left" vertical="center" wrapText="1"/>
    </xf>
    <xf numFmtId="9" fontId="7" fillId="0" borderId="0" xfId="0" applyNumberFormat="1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2" fontId="7" fillId="0" borderId="0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/>
    <xf numFmtId="0" fontId="5" fillId="0" borderId="0" xfId="0" applyFont="1" applyBorder="1" applyAlignment="1">
      <alignment horizontal="center"/>
    </xf>
    <xf numFmtId="2" fontId="5" fillId="0" borderId="0" xfId="0" applyNumberFormat="1" applyFont="1" applyBorder="1" applyAlignment="1"/>
    <xf numFmtId="180" fontId="7" fillId="2" borderId="0" xfId="0" applyNumberFormat="1" applyFont="1" applyFill="1" applyAlignment="1" applyProtection="1">
      <alignment horizontal="center"/>
    </xf>
    <xf numFmtId="2" fontId="7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center"/>
    </xf>
    <xf numFmtId="1" fontId="11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left" vertical="center"/>
    </xf>
    <xf numFmtId="0" fontId="1" fillId="0" borderId="9" xfId="0" applyFont="1" applyBorder="1"/>
    <xf numFmtId="0" fontId="2" fillId="0" borderId="9" xfId="0" applyFont="1" applyBorder="1" applyAlignment="1"/>
    <xf numFmtId="0" fontId="1" fillId="0" borderId="12" xfId="0" applyFont="1" applyBorder="1"/>
    <xf numFmtId="0" fontId="2" fillId="0" borderId="15" xfId="0" applyFont="1" applyBorder="1" applyAlignment="1"/>
    <xf numFmtId="0" fontId="2" fillId="0" borderId="12" xfId="0" applyFont="1" applyBorder="1" applyAlignment="1"/>
    <xf numFmtId="9" fontId="2" fillId="0" borderId="12" xfId="0" applyNumberFormat="1" applyFont="1" applyBorder="1" applyAlignment="1"/>
    <xf numFmtId="0" fontId="1" fillId="0" borderId="10" xfId="0" applyFont="1" applyBorder="1"/>
    <xf numFmtId="0" fontId="2" fillId="0" borderId="10" xfId="0" applyFont="1" applyBorder="1" applyAlignment="1"/>
    <xf numFmtId="0" fontId="1" fillId="0" borderId="11" xfId="0" applyFont="1" applyBorder="1"/>
    <xf numFmtId="182" fontId="2" fillId="0" borderId="11" xfId="0" applyNumberFormat="1" applyFont="1" applyBorder="1" applyAlignment="1">
      <alignment horizontal="right"/>
    </xf>
    <xf numFmtId="182" fontId="2" fillId="0" borderId="10" xfId="0" applyNumberFormat="1" applyFont="1" applyBorder="1" applyAlignment="1">
      <alignment horizontal="right"/>
    </xf>
    <xf numFmtId="2" fontId="2" fillId="2" borderId="10" xfId="0" applyNumberFormat="1" applyFont="1" applyFill="1" applyBorder="1" applyAlignment="1"/>
    <xf numFmtId="0" fontId="2" fillId="0" borderId="7" xfId="0" applyFont="1" applyFill="1" applyBorder="1" applyAlignment="1"/>
    <xf numFmtId="0" fontId="0" fillId="0" borderId="10" xfId="0" applyBorder="1"/>
    <xf numFmtId="2" fontId="2" fillId="2" borderId="0" xfId="0" applyNumberFormat="1" applyFont="1" applyFill="1" applyBorder="1" applyAlignment="1"/>
    <xf numFmtId="2" fontId="14" fillId="0" borderId="0" xfId="0" applyNumberFormat="1" applyFont="1"/>
    <xf numFmtId="0" fontId="5" fillId="0" borderId="0" xfId="0" applyFont="1" applyBorder="1" applyAlignment="1">
      <alignment horizontal="left"/>
    </xf>
    <xf numFmtId="2" fontId="7" fillId="0" borderId="0" xfId="0" applyNumberFormat="1" applyFont="1"/>
    <xf numFmtId="9" fontId="7" fillId="0" borderId="0" xfId="0" applyNumberFormat="1" applyFont="1" applyBorder="1" applyAlignment="1">
      <alignment horizontal="center" vertical="center"/>
    </xf>
    <xf numFmtId="0" fontId="14" fillId="0" borderId="0" xfId="0" applyFont="1" applyFill="1"/>
    <xf numFmtId="2" fontId="14" fillId="0" borderId="0" xfId="0" applyNumberFormat="1" applyFont="1" applyFill="1"/>
    <xf numFmtId="0" fontId="0" fillId="0" borderId="0" xfId="0" applyAlignment="1">
      <alignment horizontal="right"/>
    </xf>
    <xf numFmtId="181" fontId="11" fillId="0" borderId="0" xfId="0" applyNumberFormat="1" applyFont="1" applyAlignment="1">
      <alignment horizontal="left" vertical="center"/>
    </xf>
    <xf numFmtId="182" fontId="2" fillId="0" borderId="0" xfId="0" applyNumberFormat="1" applyFont="1" applyBorder="1" applyAlignment="1" quotePrefix="1">
      <alignment horizontal="right"/>
    </xf>
    <xf numFmtId="0" fontId="2" fillId="0" borderId="0" xfId="0" applyFont="1" applyFill="1" applyBorder="1" applyAlignment="1" quotePrefix="1"/>
    <xf numFmtId="2" fontId="2" fillId="0" borderId="0" xfId="0" applyNumberFormat="1" applyFont="1" applyBorder="1" applyAlignment="1" quotePrefix="1"/>
    <xf numFmtId="0" fontId="2" fillId="0" borderId="10" xfId="0" applyFont="1" applyBorder="1" applyAlignment="1" quotePrefix="1">
      <alignment horizontal="center" vertical="center"/>
    </xf>
    <xf numFmtId="0" fontId="17" fillId="0" borderId="8" xfId="0" applyFont="1" applyBorder="1" applyAlignment="1" quotePrefix="1">
      <alignment horizontal="left" vertical="center"/>
    </xf>
    <xf numFmtId="0" fontId="18" fillId="0" borderId="11" xfId="0" applyFont="1" applyBorder="1" applyAlignment="1" quotePrefix="1">
      <alignment horizontal="center"/>
    </xf>
    <xf numFmtId="0" fontId="18" fillId="0" borderId="12" xfId="0" applyFont="1" applyBorder="1" applyAlignment="1" quotePrefix="1">
      <alignment horizontal="center"/>
    </xf>
    <xf numFmtId="0" fontId="0" fillId="0" borderId="12" xfId="0" applyBorder="1" applyAlignment="1" quotePrefix="1">
      <alignment horizontal="center"/>
    </xf>
    <xf numFmtId="0" fontId="21" fillId="0" borderId="0" xfId="0" applyFont="1" applyBorder="1" applyAlignment="1" quotePrefix="1">
      <alignment horizontal="left" vertical="center"/>
    </xf>
    <xf numFmtId="0" fontId="2" fillId="0" borderId="7" xfId="0" applyFont="1" applyFill="1" applyBorder="1" applyAlignment="1" quotePrefix="1"/>
    <xf numFmtId="182" fontId="2" fillId="0" borderId="3" xfId="0" applyNumberFormat="1" applyFont="1" applyBorder="1" applyAlignment="1" quotePrefix="1">
      <alignment horizontal="right"/>
    </xf>
    <xf numFmtId="0" fontId="2" fillId="0" borderId="6" xfId="0" applyFont="1" applyFill="1" applyBorder="1" applyAlignment="1" quotePrefix="1"/>
    <xf numFmtId="0" fontId="17" fillId="0" borderId="15" xfId="0" applyFont="1" applyBorder="1" applyAlignment="1" quotePrefix="1">
      <alignment horizontal="left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workbookViewId="0">
      <selection activeCell="C41" sqref="C41"/>
    </sheetView>
  </sheetViews>
  <sheetFormatPr defaultColWidth="9" defaultRowHeight="14.4"/>
  <cols>
    <col min="1" max="1" width="4.42592592592593" customWidth="1"/>
    <col min="2" max="2" width="8.71296296296296" customWidth="1"/>
    <col min="3" max="3" width="14.712962962963" customWidth="1"/>
    <col min="4" max="4" width="13" customWidth="1"/>
    <col min="5" max="5" width="25.712962962963" customWidth="1"/>
    <col min="6" max="6" width="19.4259259259259" customWidth="1"/>
    <col min="7" max="7" width="19.287037037037" customWidth="1"/>
    <col min="8" max="8" width="15" customWidth="1"/>
    <col min="9" max="9" width="18.8518518518519" customWidth="1"/>
    <col min="10" max="10" width="4" customWidth="1"/>
  </cols>
  <sheetData>
    <row r="1" spans="1:11">
      <c r="B1" s="1"/>
    </row>
    <row r="2" ht="15.6" spans="1:11">
      <c r="B2" s="1"/>
      <c r="C2" s="2"/>
    </row>
    <row r="3" ht="15.6" spans="1:11">
      <c r="B3" s="1" t="s">
        <v>0</v>
      </c>
      <c r="C3" s="2" t="s">
        <v>1</v>
      </c>
    </row>
    <row r="4" spans="1:11">
      <c r="A4" s="3"/>
      <c r="B4" s="1"/>
      <c r="C4" s="4" t="s">
        <v>2</v>
      </c>
      <c r="D4" s="1"/>
      <c r="F4" s="1"/>
      <c r="G4" s="1"/>
      <c r="H4" s="1"/>
    </row>
    <row r="5" ht="17.4" spans="1:11">
      <c r="A5" s="1"/>
      <c r="B5" s="140" t="s">
        <v>3</v>
      </c>
      <c r="C5" s="140"/>
      <c r="D5" s="140"/>
      <c r="E5" s="140"/>
      <c r="F5" s="140"/>
      <c r="G5" s="140"/>
      <c r="H5" s="6"/>
    </row>
    <row r="6" ht="17.4" spans="1:11">
      <c r="A6" s="1"/>
      <c r="B6" s="140" t="s">
        <v>4</v>
      </c>
      <c r="C6" s="140"/>
      <c r="D6" s="140"/>
      <c r="E6" s="140"/>
      <c r="F6" s="140"/>
      <c r="G6" s="140"/>
      <c r="H6" s="6"/>
    </row>
    <row r="7" ht="17.4" spans="1:11">
      <c r="A7" s="1"/>
      <c r="C7" s="5" t="s">
        <v>5</v>
      </c>
      <c r="D7" s="5"/>
      <c r="E7" s="141">
        <f>+F17</f>
        <v>7.26</v>
      </c>
      <c r="F7" s="5" t="s">
        <v>6</v>
      </c>
      <c r="G7" s="5"/>
      <c r="H7" s="6"/>
    </row>
    <row r="8" ht="21.75" customHeight="1" spans="1:11">
      <c r="A8" s="1"/>
      <c r="B8" s="7"/>
      <c r="C8" s="1"/>
      <c r="D8" s="1"/>
      <c r="E8" s="1"/>
      <c r="F8" s="8"/>
      <c r="G8" s="1"/>
      <c r="H8" s="1"/>
    </row>
    <row r="9" ht="15.6" spans="1:11">
      <c r="A9" s="1"/>
      <c r="B9" s="112" t="s">
        <v>7</v>
      </c>
      <c r="C9" s="112"/>
      <c r="D9" s="142">
        <v>7379.89</v>
      </c>
      <c r="E9" s="2" t="s">
        <v>8</v>
      </c>
      <c r="G9" s="168"/>
      <c r="H9" s="22"/>
      <c r="I9" s="17"/>
      <c r="K9" s="18"/>
    </row>
    <row r="10" ht="15.6" spans="1:11">
      <c r="A10" s="1"/>
      <c r="B10" s="114" t="s">
        <v>9</v>
      </c>
      <c r="C10" s="112"/>
      <c r="D10" s="144">
        <v>2</v>
      </c>
      <c r="F10" s="27"/>
      <c r="G10" s="169"/>
      <c r="H10" s="22"/>
    </row>
    <row r="11" ht="15.6" spans="1:11">
      <c r="A11" s="1"/>
      <c r="B11" s="2" t="s">
        <v>10</v>
      </c>
      <c r="C11" s="2"/>
      <c r="D11" s="142">
        <f>+D9*D10</f>
        <v>14759.78</v>
      </c>
      <c r="E11" s="2" t="s">
        <v>11</v>
      </c>
      <c r="F11" s="27"/>
      <c r="G11" s="169"/>
      <c r="H11" s="2"/>
    </row>
    <row r="12" ht="9.75" customHeight="1" spans="1:11">
      <c r="A12" s="1"/>
      <c r="B12" s="2"/>
      <c r="C12" s="2"/>
      <c r="D12" s="2"/>
      <c r="E12" s="2"/>
      <c r="F12" s="2"/>
      <c r="H12" s="2"/>
    </row>
    <row r="13" ht="15.6" spans="1:11">
      <c r="A13" s="1"/>
      <c r="B13" s="2" t="s">
        <v>12</v>
      </c>
      <c r="C13" s="2"/>
      <c r="D13" s="2"/>
      <c r="E13" s="2"/>
      <c r="F13" s="170" t="s">
        <v>13</v>
      </c>
      <c r="H13" s="30"/>
    </row>
    <row r="14" ht="15.6" spans="1:11">
      <c r="A14" s="1"/>
      <c r="B14" s="2" t="s">
        <v>14</v>
      </c>
      <c r="C14" s="2"/>
      <c r="D14" s="2"/>
      <c r="E14" s="2"/>
      <c r="F14" s="161">
        <v>465.22</v>
      </c>
      <c r="H14" s="30"/>
    </row>
    <row r="15" ht="15.6" spans="1:11">
      <c r="B15" s="171" t="s">
        <v>15</v>
      </c>
      <c r="F15" s="164"/>
      <c r="H15" s="30"/>
    </row>
    <row r="16" ht="14.25" customHeight="1" spans="1:11">
      <c r="A16" s="1"/>
      <c r="B16" s="2"/>
      <c r="C16" s="2"/>
      <c r="D16" s="2"/>
      <c r="E16" s="2"/>
      <c r="F16" s="48"/>
      <c r="G16" s="49"/>
      <c r="H16" s="2"/>
    </row>
    <row r="17" ht="15.6" spans="1:9">
      <c r="A17" s="1"/>
      <c r="B17" s="2" t="s">
        <v>16</v>
      </c>
      <c r="C17" s="2"/>
      <c r="D17" s="2"/>
      <c r="E17" s="2"/>
      <c r="F17" s="161">
        <v>7.26</v>
      </c>
      <c r="G17" s="54" t="s">
        <v>6</v>
      </c>
      <c r="H17" s="2"/>
    </row>
    <row r="18" ht="15.6" spans="1:9">
      <c r="A18" s="1"/>
      <c r="C18" s="2"/>
      <c r="D18" s="58" t="s">
        <v>17</v>
      </c>
      <c r="E18" s="58" t="s">
        <v>18</v>
      </c>
      <c r="F18" s="58" t="s">
        <v>19</v>
      </c>
    </row>
    <row r="19" ht="15.6" spans="1:9">
      <c r="A19" s="1"/>
      <c r="B19" s="2" t="s">
        <v>20</v>
      </c>
      <c r="C19" s="2"/>
      <c r="D19" s="62">
        <f>+D11</f>
        <v>14759.78</v>
      </c>
      <c r="E19" s="62">
        <f>+F14</f>
        <v>465.22</v>
      </c>
      <c r="F19" s="62">
        <f>+D19*E19</f>
        <v>6866544.8516</v>
      </c>
    </row>
    <row r="20" ht="14.25" customHeight="1" spans="1:9">
      <c r="A20" s="1"/>
      <c r="B20" s="2"/>
      <c r="C20" s="2"/>
      <c r="D20" s="2"/>
      <c r="E20" s="2"/>
      <c r="F20" s="30"/>
      <c r="G20" s="30"/>
      <c r="H20" s="30"/>
    </row>
    <row r="21" ht="15.6" spans="1:9">
      <c r="A21" s="1"/>
      <c r="B21" t="s">
        <v>21</v>
      </c>
      <c r="F21" s="30">
        <f>+F19</f>
        <v>6866544.8516</v>
      </c>
      <c r="G21" s="30"/>
      <c r="H21" s="30"/>
    </row>
    <row r="22" ht="15.6" spans="1:9">
      <c r="A22" s="1"/>
      <c r="F22" s="30"/>
      <c r="G22" s="30"/>
      <c r="H22" s="30"/>
    </row>
    <row r="23" ht="15.6" spans="1:9">
      <c r="A23" s="1"/>
      <c r="B23" t="s">
        <v>22</v>
      </c>
      <c r="F23" s="30">
        <f>+F21*1.02</f>
        <v>7003875.748632</v>
      </c>
      <c r="G23" s="172" t="s">
        <v>23</v>
      </c>
      <c r="H23" s="30"/>
    </row>
    <row r="24" ht="15.6" spans="1:9">
      <c r="A24" s="1"/>
      <c r="B24" t="s">
        <v>24</v>
      </c>
      <c r="F24" s="30">
        <f>+F23*1.02</f>
        <v>7143953.26360464</v>
      </c>
      <c r="G24" s="30"/>
      <c r="H24" s="30"/>
    </row>
    <row r="25" ht="18" spans="1:9">
      <c r="A25" s="1"/>
      <c r="B25" s="64" t="s">
        <v>25</v>
      </c>
      <c r="C25" s="65"/>
      <c r="D25" s="65" t="s">
        <v>26</v>
      </c>
      <c r="E25" s="65"/>
      <c r="F25" s="30">
        <f>+F23*12</f>
        <v>84046508.983584</v>
      </c>
      <c r="G25" s="66"/>
    </row>
    <row r="26" ht="13.5" customHeight="1" spans="1:9">
      <c r="A26" s="1"/>
      <c r="B26" s="2"/>
      <c r="C26" s="2"/>
      <c r="D26" s="2"/>
      <c r="E26" s="2"/>
      <c r="F26" s="2"/>
      <c r="G26" s="2"/>
      <c r="H26" s="2"/>
    </row>
    <row r="27" ht="42.75" customHeight="1" spans="1:9">
      <c r="A27" s="1"/>
      <c r="B27" s="67" t="s">
        <v>27</v>
      </c>
      <c r="C27" s="67" t="s">
        <v>28</v>
      </c>
      <c r="D27" s="67"/>
      <c r="E27" s="71" t="s">
        <v>29</v>
      </c>
      <c r="F27" s="71" t="s">
        <v>30</v>
      </c>
      <c r="G27" s="72" t="s">
        <v>31</v>
      </c>
      <c r="H27" s="73" t="s">
        <v>32</v>
      </c>
      <c r="I27" s="74" t="s">
        <v>33</v>
      </c>
    </row>
    <row r="28" ht="15.6" spans="1:9">
      <c r="A28" s="1"/>
      <c r="B28" s="75"/>
      <c r="C28" s="75"/>
      <c r="D28" s="75"/>
      <c r="E28" s="78" t="s">
        <v>34</v>
      </c>
      <c r="F28" s="78" t="s">
        <v>35</v>
      </c>
      <c r="G28" s="79"/>
      <c r="H28" s="80">
        <f>F17</f>
        <v>7.26</v>
      </c>
      <c r="I28" s="81"/>
    </row>
    <row r="29" ht="15.6" spans="1:9">
      <c r="A29" s="1"/>
      <c r="B29" s="173" t="s">
        <v>36</v>
      </c>
      <c r="C29" s="117"/>
      <c r="D29" s="174" t="s">
        <v>37</v>
      </c>
      <c r="E29" s="175" t="s">
        <v>38</v>
      </c>
      <c r="F29" s="175" t="s">
        <v>39</v>
      </c>
      <c r="G29" s="175" t="s">
        <v>40</v>
      </c>
      <c r="H29" s="176" t="s">
        <v>41</v>
      </c>
      <c r="I29" s="176" t="s">
        <v>42</v>
      </c>
    </row>
    <row r="30" ht="15.6" spans="1:9">
      <c r="A30" s="1"/>
      <c r="B30" s="87">
        <v>1</v>
      </c>
      <c r="C30" s="177" t="s">
        <v>43</v>
      </c>
      <c r="D30" s="55" t="s">
        <v>44</v>
      </c>
      <c r="E30" s="90">
        <f>+F23</f>
        <v>7003875.748632</v>
      </c>
      <c r="F30" s="91">
        <f>+F24</f>
        <v>7143953.26360464</v>
      </c>
      <c r="G30" s="92">
        <f>(E30*9)+(F30*3)</f>
        <v>84466741.5285019</v>
      </c>
      <c r="H30" s="93">
        <v>1</v>
      </c>
      <c r="I30" s="94">
        <f t="shared" ref="I30:I59" si="0">+G30*H30</f>
        <v>84466741.5285019</v>
      </c>
    </row>
    <row r="31" ht="15.6" spans="1:9">
      <c r="A31" s="1"/>
      <c r="B31" s="87">
        <v>2</v>
      </c>
      <c r="C31" s="177" t="s">
        <v>45</v>
      </c>
      <c r="D31" s="55" t="s">
        <v>46</v>
      </c>
      <c r="E31" s="90">
        <f>+F30</f>
        <v>7143953.26360464</v>
      </c>
      <c r="F31" s="95">
        <f>E31*1.02</f>
        <v>7286832.32887673</v>
      </c>
      <c r="G31" s="92">
        <f t="shared" ref="G31:G59" si="1">(E31*9)+(F31*3)</f>
        <v>86156076.359072</v>
      </c>
      <c r="H31" s="96">
        <f>1/(1+(0.01*$F$17))^(B31-1)</f>
        <v>0.93231400335633</v>
      </c>
      <c r="I31" s="94">
        <f t="shared" si="0"/>
        <v>80324516.4638001</v>
      </c>
    </row>
    <row r="32" ht="15.6" spans="1:9">
      <c r="A32" s="1"/>
      <c r="B32" s="87">
        <v>3</v>
      </c>
      <c r="C32" s="177" t="s">
        <v>47</v>
      </c>
      <c r="D32" s="55" t="s">
        <v>48</v>
      </c>
      <c r="E32" s="90">
        <f t="shared" ref="E32:E59" si="2">+F31</f>
        <v>7286832.32887673</v>
      </c>
      <c r="F32" s="95">
        <f t="shared" ref="F32:F59" si="3">E32*1.02</f>
        <v>7432568.97545427</v>
      </c>
      <c r="G32" s="92">
        <f t="shared" si="1"/>
        <v>87879197.8862534</v>
      </c>
      <c r="H32" s="96">
        <f t="shared" ref="H32:H59" si="4">1/(1+(0.01*$F$17))^(B32-1)</f>
        <v>0.869209400854308</v>
      </c>
      <c r="I32" s="94">
        <f t="shared" si="0"/>
        <v>76385424.9422675</v>
      </c>
    </row>
    <row r="33" ht="15.6" spans="1:9">
      <c r="A33" s="1"/>
      <c r="B33" s="87">
        <v>4</v>
      </c>
      <c r="C33" s="177" t="s">
        <v>49</v>
      </c>
      <c r="D33" s="55" t="s">
        <v>50</v>
      </c>
      <c r="E33" s="90">
        <f t="shared" si="2"/>
        <v>7432568.97545427</v>
      </c>
      <c r="F33" s="95">
        <f t="shared" si="3"/>
        <v>7581220.35496335</v>
      </c>
      <c r="G33" s="92">
        <f t="shared" si="1"/>
        <v>89636781.8439785</v>
      </c>
      <c r="H33" s="96">
        <f t="shared" si="4"/>
        <v>0.810376096265437</v>
      </c>
      <c r="I33" s="94">
        <f t="shared" si="0"/>
        <v>72639505.3525199</v>
      </c>
    </row>
    <row r="34" ht="15.6" spans="1:9">
      <c r="A34" s="1"/>
      <c r="B34" s="87">
        <v>5</v>
      </c>
      <c r="C34" s="177" t="s">
        <v>51</v>
      </c>
      <c r="D34" s="55" t="s">
        <v>52</v>
      </c>
      <c r="E34" s="90">
        <f t="shared" si="2"/>
        <v>7581220.35496335</v>
      </c>
      <c r="F34" s="95">
        <f t="shared" si="3"/>
        <v>7732844.76206262</v>
      </c>
      <c r="G34" s="92">
        <f t="shared" si="1"/>
        <v>91429517.4808581</v>
      </c>
      <c r="H34" s="96">
        <f t="shared" si="4"/>
        <v>0.755524982533505</v>
      </c>
      <c r="I34" s="94">
        <f t="shared" si="0"/>
        <v>69077284.597772</v>
      </c>
    </row>
    <row r="35" ht="15.6" spans="1:9">
      <c r="A35" s="1"/>
      <c r="B35" s="87">
        <v>6</v>
      </c>
      <c r="C35" s="177" t="s">
        <v>53</v>
      </c>
      <c r="D35" s="55" t="s">
        <v>54</v>
      </c>
      <c r="E35" s="90">
        <f t="shared" si="2"/>
        <v>7732844.76206262</v>
      </c>
      <c r="F35" s="95">
        <f t="shared" si="3"/>
        <v>7887501.65730387</v>
      </c>
      <c r="G35" s="92">
        <f t="shared" si="1"/>
        <v>93258107.8304752</v>
      </c>
      <c r="H35" s="96">
        <f t="shared" si="4"/>
        <v>0.704386521101533</v>
      </c>
      <c r="I35" s="94">
        <f t="shared" si="0"/>
        <v>65689754.1392201</v>
      </c>
    </row>
    <row r="36" ht="15.6" spans="1:9">
      <c r="A36" s="1"/>
      <c r="B36" s="87">
        <v>7</v>
      </c>
      <c r="C36" s="177" t="s">
        <v>55</v>
      </c>
      <c r="D36" s="55" t="s">
        <v>56</v>
      </c>
      <c r="E36" s="90">
        <f t="shared" si="2"/>
        <v>7887501.65730387</v>
      </c>
      <c r="F36" s="95">
        <f t="shared" si="3"/>
        <v>8045251.69044995</v>
      </c>
      <c r="G36" s="92">
        <f t="shared" si="1"/>
        <v>95123269.9870847</v>
      </c>
      <c r="H36" s="96">
        <f t="shared" si="4"/>
        <v>0.656709417398409</v>
      </c>
      <c r="I36" s="94">
        <f t="shared" si="0"/>
        <v>62468347.21425</v>
      </c>
    </row>
    <row r="37" ht="15.6" spans="1:9">
      <c r="A37" s="8"/>
      <c r="B37" s="87">
        <v>8</v>
      </c>
      <c r="C37" s="177" t="s">
        <v>57</v>
      </c>
      <c r="D37" s="55" t="s">
        <v>58</v>
      </c>
      <c r="E37" s="90">
        <f t="shared" si="2"/>
        <v>8045251.69044995</v>
      </c>
      <c r="F37" s="95">
        <f t="shared" si="3"/>
        <v>8206156.72425895</v>
      </c>
      <c r="G37" s="92">
        <f t="shared" si="1"/>
        <v>97025735.3868264</v>
      </c>
      <c r="H37" s="96">
        <f t="shared" si="4"/>
        <v>0.612259385976514</v>
      </c>
      <c r="I37" s="94">
        <f t="shared" si="0"/>
        <v>59404917.171858</v>
      </c>
    </row>
    <row r="38" ht="15.6" spans="1:9">
      <c r="A38" s="1"/>
      <c r="B38" s="87">
        <v>9</v>
      </c>
      <c r="C38" s="177" t="s">
        <v>59</v>
      </c>
      <c r="D38" s="55" t="s">
        <v>60</v>
      </c>
      <c r="E38" s="90">
        <f t="shared" si="2"/>
        <v>8206156.72425895</v>
      </c>
      <c r="F38" s="95">
        <f t="shared" si="3"/>
        <v>8370279.85874413</v>
      </c>
      <c r="G38" s="92">
        <f t="shared" si="1"/>
        <v>98966250.0945629</v>
      </c>
      <c r="H38" s="96">
        <f t="shared" si="4"/>
        <v>0.570817999232252</v>
      </c>
      <c r="I38" s="94">
        <f t="shared" si="0"/>
        <v>56491716.8704971</v>
      </c>
    </row>
    <row r="39" ht="15.6" spans="1:9">
      <c r="A39" s="1"/>
      <c r="B39" s="87">
        <v>10</v>
      </c>
      <c r="C39" s="177" t="s">
        <v>61</v>
      </c>
      <c r="D39" s="55" t="s">
        <v>62</v>
      </c>
      <c r="E39" s="90">
        <f t="shared" si="2"/>
        <v>8370279.85874413</v>
      </c>
      <c r="F39" s="95">
        <f t="shared" si="3"/>
        <v>8537685.45591901</v>
      </c>
      <c r="G39" s="92">
        <f t="shared" si="1"/>
        <v>100945575.096454</v>
      </c>
      <c r="H39" s="96">
        <f t="shared" si="4"/>
        <v>0.532181614052072</v>
      </c>
      <c r="I39" s="94">
        <f t="shared" si="0"/>
        <v>53721379.0862456</v>
      </c>
    </row>
    <row r="40" ht="15.6" spans="1:9">
      <c r="A40" s="1"/>
      <c r="B40" s="87">
        <v>11</v>
      </c>
      <c r="C40" s="177" t="s">
        <v>63</v>
      </c>
      <c r="D40" s="55" t="s">
        <v>64</v>
      </c>
      <c r="E40" s="90">
        <f t="shared" si="2"/>
        <v>8537685.45591901</v>
      </c>
      <c r="F40" s="95">
        <f t="shared" si="3"/>
        <v>8708439.16503739</v>
      </c>
      <c r="G40" s="92">
        <f t="shared" si="1"/>
        <v>102964486.598383</v>
      </c>
      <c r="H40" s="96">
        <f t="shared" si="4"/>
        <v>0.496160371109521</v>
      </c>
      <c r="I40" s="94">
        <f t="shared" si="0"/>
        <v>51086897.8817551</v>
      </c>
    </row>
    <row r="41" ht="15.6" spans="1:9">
      <c r="A41" s="1"/>
      <c r="B41" s="87">
        <v>12</v>
      </c>
      <c r="C41" s="177" t="s">
        <v>65</v>
      </c>
      <c r="D41" s="55" t="s">
        <v>66</v>
      </c>
      <c r="E41" s="90">
        <f t="shared" si="2"/>
        <v>8708439.16503739</v>
      </c>
      <c r="F41" s="95">
        <f t="shared" si="3"/>
        <v>8882607.94833814</v>
      </c>
      <c r="G41" s="92">
        <f t="shared" si="1"/>
        <v>105023776.330351</v>
      </c>
      <c r="H41" s="96">
        <f t="shared" si="4"/>
        <v>0.46257726189588</v>
      </c>
      <c r="I41" s="94">
        <f t="shared" si="0"/>
        <v>48581610.8888591</v>
      </c>
    </row>
    <row r="42" ht="15.6" spans="1:9">
      <c r="A42" s="1"/>
      <c r="B42" s="87">
        <v>13</v>
      </c>
      <c r="C42" s="177" t="s">
        <v>67</v>
      </c>
      <c r="D42" s="55" t="s">
        <v>68</v>
      </c>
      <c r="E42" s="90">
        <f t="shared" si="2"/>
        <v>8882607.94833814</v>
      </c>
      <c r="F42" s="95">
        <f t="shared" si="3"/>
        <v>9060260.1073049</v>
      </c>
      <c r="G42" s="92">
        <f t="shared" si="1"/>
        <v>107124251.856958</v>
      </c>
      <c r="H42" s="96">
        <f t="shared" si="4"/>
        <v>0.431267258899757</v>
      </c>
      <c r="I42" s="94">
        <f t="shared" si="0"/>
        <v>46199182.4600375</v>
      </c>
    </row>
    <row r="43" ht="15.6" spans="1:9">
      <c r="A43" s="1"/>
      <c r="B43" s="87">
        <v>14</v>
      </c>
      <c r="C43" s="177" t="s">
        <v>69</v>
      </c>
      <c r="D43" s="55" t="s">
        <v>70</v>
      </c>
      <c r="E43" s="90">
        <f t="shared" si="2"/>
        <v>9060260.1073049</v>
      </c>
      <c r="F43" s="95">
        <f t="shared" si="3"/>
        <v>9241465.309451</v>
      </c>
      <c r="G43" s="92">
        <f t="shared" si="1"/>
        <v>109266736.894097</v>
      </c>
      <c r="H43" s="96">
        <f t="shared" si="4"/>
        <v>0.402076504661344</v>
      </c>
      <c r="I43" s="94">
        <f t="shared" si="0"/>
        <v>43933587.6461293</v>
      </c>
    </row>
    <row r="44" ht="15.6" spans="1:9">
      <c r="A44" s="1"/>
      <c r="B44" s="87">
        <v>15</v>
      </c>
      <c r="C44" s="177" t="s">
        <v>71</v>
      </c>
      <c r="D44" s="55" t="s">
        <v>72</v>
      </c>
      <c r="E44" s="90">
        <f t="shared" si="2"/>
        <v>9241465.309451</v>
      </c>
      <c r="F44" s="95">
        <f t="shared" si="3"/>
        <v>9426294.61564002</v>
      </c>
      <c r="G44" s="92">
        <f t="shared" si="1"/>
        <v>111452071.631979</v>
      </c>
      <c r="H44" s="96">
        <f t="shared" si="4"/>
        <v>0.374861555716338</v>
      </c>
      <c r="I44" s="94">
        <f t="shared" si="0"/>
        <v>41779096.9597724</v>
      </c>
    </row>
    <row r="45" ht="15.6" spans="1:9">
      <c r="A45" s="1"/>
      <c r="B45" s="87">
        <v>16</v>
      </c>
      <c r="C45" s="177" t="s">
        <v>73</v>
      </c>
      <c r="D45" s="55" t="s">
        <v>74</v>
      </c>
      <c r="E45" s="90">
        <f t="shared" si="2"/>
        <v>9426294.61564002</v>
      </c>
      <c r="F45" s="95">
        <f t="shared" si="3"/>
        <v>9614820.50795282</v>
      </c>
      <c r="G45" s="92">
        <f t="shared" si="1"/>
        <v>113681113.064619</v>
      </c>
      <c r="H45" s="96">
        <f t="shared" si="4"/>
        <v>0.349488677714281</v>
      </c>
      <c r="I45" s="94">
        <f t="shared" si="0"/>
        <v>39730261.8860413</v>
      </c>
    </row>
    <row r="46" ht="15.6" spans="1:9">
      <c r="A46" s="1"/>
      <c r="B46" s="87">
        <v>17</v>
      </c>
      <c r="C46" s="177" t="s">
        <v>75</v>
      </c>
      <c r="D46" s="55" t="s">
        <v>76</v>
      </c>
      <c r="E46" s="90">
        <f t="shared" si="2"/>
        <v>9614820.50795282</v>
      </c>
      <c r="F46" s="95">
        <f t="shared" si="3"/>
        <v>9807116.91811188</v>
      </c>
      <c r="G46" s="92">
        <f t="shared" si="1"/>
        <v>115954735.325911</v>
      </c>
      <c r="H46" s="96">
        <f t="shared" si="4"/>
        <v>0.325833188247512</v>
      </c>
      <c r="I46" s="94">
        <f t="shared" si="0"/>
        <v>37781901.103638</v>
      </c>
    </row>
    <row r="47" ht="15.6" spans="1:9">
      <c r="A47" s="1"/>
      <c r="B47" s="87">
        <v>18</v>
      </c>
      <c r="C47" s="177" t="s">
        <v>77</v>
      </c>
      <c r="D47" s="55" t="s">
        <v>78</v>
      </c>
      <c r="E47" s="90">
        <f t="shared" si="2"/>
        <v>9807116.91811188</v>
      </c>
      <c r="F47" s="95">
        <f t="shared" si="3"/>
        <v>10003259.2564741</v>
      </c>
      <c r="G47" s="92">
        <f t="shared" si="1"/>
        <v>118273830.032429</v>
      </c>
      <c r="H47" s="96">
        <f t="shared" si="4"/>
        <v>0.303778844161394</v>
      </c>
      <c r="I47" s="94">
        <f t="shared" si="0"/>
        <v>35929087.3817926</v>
      </c>
    </row>
    <row r="48" ht="15.6" spans="1:9">
      <c r="A48" s="1"/>
      <c r="B48" s="87">
        <v>19</v>
      </c>
      <c r="C48" s="177" t="s">
        <v>79</v>
      </c>
      <c r="D48" s="55" t="s">
        <v>80</v>
      </c>
      <c r="E48" s="90">
        <f t="shared" si="2"/>
        <v>10003259.2564741</v>
      </c>
      <c r="F48" s="95">
        <f t="shared" si="3"/>
        <v>10203324.4416036</v>
      </c>
      <c r="G48" s="92">
        <f t="shared" si="1"/>
        <v>120639306.633078</v>
      </c>
      <c r="H48" s="96">
        <f t="shared" si="4"/>
        <v>0.283217270335068</v>
      </c>
      <c r="I48" s="94">
        <f t="shared" si="0"/>
        <v>34167135.1197356</v>
      </c>
    </row>
    <row r="49" ht="15.6" spans="1:11">
      <c r="A49" s="1"/>
      <c r="B49" s="87">
        <v>20</v>
      </c>
      <c r="C49" s="177" t="s">
        <v>81</v>
      </c>
      <c r="D49" s="55" t="s">
        <v>82</v>
      </c>
      <c r="E49" s="90">
        <f t="shared" si="2"/>
        <v>10203324.4416036</v>
      </c>
      <c r="F49" s="95">
        <f t="shared" si="3"/>
        <v>10407390.9304357</v>
      </c>
      <c r="G49" s="92">
        <f t="shared" si="1"/>
        <v>123052092.765739</v>
      </c>
      <c r="H49" s="96">
        <f t="shared" si="4"/>
        <v>0.26404742712574</v>
      </c>
      <c r="I49" s="94">
        <f t="shared" si="0"/>
        <v>32491588.4972313</v>
      </c>
    </row>
    <row r="50" ht="15.6" spans="1:11">
      <c r="A50" s="1"/>
      <c r="B50" s="87">
        <v>21</v>
      </c>
      <c r="C50" s="177" t="s">
        <v>83</v>
      </c>
      <c r="D50" s="55" t="s">
        <v>84</v>
      </c>
      <c r="E50" s="90">
        <f t="shared" si="2"/>
        <v>10407390.9304357</v>
      </c>
      <c r="F50" s="95">
        <f t="shared" si="3"/>
        <v>10615538.7490444</v>
      </c>
      <c r="G50" s="92">
        <f t="shared" si="1"/>
        <v>125513134.621054</v>
      </c>
      <c r="H50" s="96">
        <f t="shared" si="4"/>
        <v>0.246175113859537</v>
      </c>
      <c r="I50" s="94">
        <f t="shared" si="0"/>
        <v>30898210.2062055</v>
      </c>
    </row>
    <row r="51" ht="15.6" spans="1:11">
      <c r="A51" s="1"/>
      <c r="B51" s="87">
        <v>22</v>
      </c>
      <c r="C51" s="177" t="s">
        <v>85</v>
      </c>
      <c r="D51" s="55" t="s">
        <v>86</v>
      </c>
      <c r="E51" s="90">
        <f t="shared" si="2"/>
        <v>10615538.7490444</v>
      </c>
      <c r="F51" s="95">
        <f t="shared" si="3"/>
        <v>10827849.5240253</v>
      </c>
      <c r="G51" s="92">
        <f t="shared" si="1"/>
        <v>128023397.313475</v>
      </c>
      <c r="H51" s="96">
        <f t="shared" si="4"/>
        <v>0.229512505929086</v>
      </c>
      <c r="I51" s="94">
        <f t="shared" si="0"/>
        <v>29382970.7349707</v>
      </c>
    </row>
    <row r="52" ht="15.6" spans="1:11">
      <c r="A52" s="1"/>
      <c r="B52" s="87">
        <v>23</v>
      </c>
      <c r="C52" s="177" t="s">
        <v>87</v>
      </c>
      <c r="D52" s="55" t="s">
        <v>88</v>
      </c>
      <c r="E52" s="90">
        <f t="shared" si="2"/>
        <v>10827849.5240253</v>
      </c>
      <c r="F52" s="95">
        <f t="shared" si="3"/>
        <v>11044406.5145058</v>
      </c>
      <c r="G52" s="92">
        <f t="shared" si="1"/>
        <v>130583865.259745</v>
      </c>
      <c r="H52" s="96">
        <f t="shared" si="4"/>
        <v>0.213977723223089</v>
      </c>
      <c r="I52" s="94">
        <f t="shared" si="0"/>
        <v>27942038.1779509</v>
      </c>
    </row>
    <row r="53" ht="15.6" spans="1:11">
      <c r="A53" s="1"/>
      <c r="B53" s="87">
        <v>24</v>
      </c>
      <c r="C53" s="177" t="s">
        <v>89</v>
      </c>
      <c r="D53" s="55" t="s">
        <v>90</v>
      </c>
      <c r="E53" s="90">
        <f t="shared" si="2"/>
        <v>11044406.5145058</v>
      </c>
      <c r="F53" s="95">
        <f t="shared" si="3"/>
        <v>11265294.6447959</v>
      </c>
      <c r="G53" s="92">
        <f t="shared" si="1"/>
        <v>133195542.56494</v>
      </c>
      <c r="H53" s="96">
        <f t="shared" si="4"/>
        <v>0.199494427767191</v>
      </c>
      <c r="I53" s="94">
        <f t="shared" si="0"/>
        <v>26571768.5451332</v>
      </c>
    </row>
    <row r="54" ht="15.6" spans="1:11">
      <c r="A54" s="1"/>
      <c r="B54" s="87">
        <v>25</v>
      </c>
      <c r="C54" s="177" t="s">
        <v>91</v>
      </c>
      <c r="D54" s="55" t="s">
        <v>92</v>
      </c>
      <c r="E54" s="90">
        <f t="shared" si="2"/>
        <v>11265294.6447959</v>
      </c>
      <c r="F54" s="95">
        <f t="shared" si="3"/>
        <v>11490600.5376918</v>
      </c>
      <c r="G54" s="92">
        <f t="shared" si="1"/>
        <v>135859453.416238</v>
      </c>
      <c r="H54" s="96">
        <f t="shared" si="4"/>
        <v>0.18599144859891</v>
      </c>
      <c r="I54" s="94">
        <f t="shared" si="0"/>
        <v>25268696.5467424</v>
      </c>
    </row>
    <row r="55" ht="15.6" spans="1:11">
      <c r="A55" s="1"/>
      <c r="B55" s="87">
        <v>26</v>
      </c>
      <c r="C55" s="177" t="s">
        <v>93</v>
      </c>
      <c r="D55" s="55" t="s">
        <v>94</v>
      </c>
      <c r="E55" s="90">
        <f t="shared" si="2"/>
        <v>11490600.5376918</v>
      </c>
      <c r="F55" s="95">
        <f t="shared" si="3"/>
        <v>11720412.5484456</v>
      </c>
      <c r="G55" s="92">
        <f t="shared" si="1"/>
        <v>138576642.484563</v>
      </c>
      <c r="H55" s="96">
        <f t="shared" si="4"/>
        <v>0.173402432033293</v>
      </c>
      <c r="I55" s="94">
        <f t="shared" si="0"/>
        <v>24029526.8298315</v>
      </c>
    </row>
    <row r="56" ht="15.6" spans="1:11">
      <c r="A56" s="1"/>
      <c r="B56" s="87">
        <v>27</v>
      </c>
      <c r="C56" s="177" t="s">
        <v>95</v>
      </c>
      <c r="D56" s="55" t="s">
        <v>96</v>
      </c>
      <c r="E56" s="90">
        <f t="shared" si="2"/>
        <v>11720412.5484456</v>
      </c>
      <c r="F56" s="95">
        <f t="shared" si="3"/>
        <v>11954820.7994146</v>
      </c>
      <c r="G56" s="92">
        <f t="shared" si="1"/>
        <v>141348175.334255</v>
      </c>
      <c r="H56" s="96">
        <f t="shared" si="4"/>
        <v>0.161665515600684</v>
      </c>
      <c r="I56" s="94">
        <f t="shared" si="0"/>
        <v>22851125.6446281</v>
      </c>
    </row>
    <row r="57" ht="15.6" spans="1:11">
      <c r="A57" s="1"/>
      <c r="B57" s="87">
        <v>28</v>
      </c>
      <c r="C57" s="177" t="s">
        <v>97</v>
      </c>
      <c r="D57" s="55" t="s">
        <v>98</v>
      </c>
      <c r="E57" s="90">
        <f t="shared" si="2"/>
        <v>11954820.7994146</v>
      </c>
      <c r="F57" s="95">
        <f t="shared" si="3"/>
        <v>12193917.2154029</v>
      </c>
      <c r="G57" s="92">
        <f t="shared" si="1"/>
        <v>144175138.84094</v>
      </c>
      <c r="H57" s="96">
        <f t="shared" si="4"/>
        <v>0.150723024054339</v>
      </c>
      <c r="I57" s="94">
        <f t="shared" si="0"/>
        <v>21730512.9195606</v>
      </c>
    </row>
    <row r="58" ht="15.6" spans="1:11">
      <c r="A58" s="1"/>
      <c r="B58" s="87">
        <v>29</v>
      </c>
      <c r="C58" s="177" t="s">
        <v>99</v>
      </c>
      <c r="D58" s="55" t="s">
        <v>100</v>
      </c>
      <c r="E58" s="90">
        <f t="shared" si="2"/>
        <v>12193917.2154029</v>
      </c>
      <c r="F58" s="95">
        <f t="shared" si="3"/>
        <v>12437795.5597109</v>
      </c>
      <c r="G58" s="92">
        <f t="shared" si="1"/>
        <v>147058641.617758</v>
      </c>
      <c r="H58" s="96">
        <f t="shared" si="4"/>
        <v>0.140521185954073</v>
      </c>
      <c r="I58" s="94">
        <f t="shared" si="0"/>
        <v>20664854.7249224</v>
      </c>
    </row>
    <row r="59" ht="15.6" spans="1:11">
      <c r="A59" s="1"/>
      <c r="B59" s="118">
        <v>30</v>
      </c>
      <c r="C59" s="177" t="s">
        <v>101</v>
      </c>
      <c r="D59" s="55" t="s">
        <v>102</v>
      </c>
      <c r="E59" s="119">
        <f t="shared" si="2"/>
        <v>12437795.5597109</v>
      </c>
      <c r="F59" s="95">
        <f t="shared" si="3"/>
        <v>12686551.4709051</v>
      </c>
      <c r="G59" s="92">
        <f t="shared" si="1"/>
        <v>149999814.450114</v>
      </c>
      <c r="H59" s="120">
        <f t="shared" si="4"/>
        <v>0.131009869433221</v>
      </c>
      <c r="I59" s="94">
        <f t="shared" si="0"/>
        <v>19651456.1061168</v>
      </c>
    </row>
    <row r="60" ht="16.35" spans="1:11">
      <c r="B60" s="87"/>
      <c r="C60" s="55"/>
      <c r="D60" s="55"/>
      <c r="E60" s="90"/>
      <c r="F60" s="95"/>
      <c r="G60" s="92"/>
      <c r="H60" s="96"/>
      <c r="I60" s="94"/>
    </row>
    <row r="61" ht="18.75" spans="1:11">
      <c r="B61" s="121"/>
      <c r="C61" s="122"/>
      <c r="D61" s="122"/>
      <c r="E61" s="123" t="s">
        <v>103</v>
      </c>
      <c r="F61" s="102"/>
      <c r="G61" s="124"/>
      <c r="H61" s="125"/>
      <c r="I61" s="105">
        <f>+SUM(I30:I59)</f>
        <v>1341341097.62799</v>
      </c>
      <c r="J61" s="106"/>
      <c r="K61" s="106" t="s">
        <v>104</v>
      </c>
    </row>
    <row r="62" ht="13.5" customHeight="1" spans="1:11">
      <c r="B62" s="1"/>
      <c r="C62" s="1"/>
      <c r="D62" s="1"/>
      <c r="G62" s="1"/>
      <c r="H62" s="1"/>
      <c r="I62" s="30">
        <f>+I61/10000000</f>
        <v>134.134109762799</v>
      </c>
      <c r="J62" s="1" t="s">
        <v>105</v>
      </c>
      <c r="K62" s="106" t="s">
        <v>104</v>
      </c>
    </row>
    <row r="63" spans="1:11">
      <c r="D63" s="107" t="s">
        <v>106</v>
      </c>
      <c r="E63" s="107" t="s">
        <v>107</v>
      </c>
      <c r="F63" s="107"/>
      <c r="G63" s="107"/>
      <c r="H63" s="36"/>
    </row>
    <row r="64" spans="1:11">
      <c r="D64" s="107"/>
      <c r="E64" s="107" t="s">
        <v>108</v>
      </c>
      <c r="F64" s="107"/>
      <c r="G64" s="107"/>
      <c r="H64" s="36"/>
    </row>
    <row r="65" spans="4:8">
      <c r="D65" s="107"/>
      <c r="E65" s="107" t="s">
        <v>109</v>
      </c>
      <c r="F65" s="107"/>
      <c r="G65" s="107" t="s">
        <v>110</v>
      </c>
      <c r="H65" s="66">
        <f>+D9*2</f>
        <v>14759.78</v>
      </c>
    </row>
    <row r="66" spans="4:8">
      <c r="D66" s="107"/>
      <c r="E66" s="107" t="s">
        <v>111</v>
      </c>
      <c r="F66" s="107"/>
      <c r="G66" s="107"/>
      <c r="H66" s="36"/>
    </row>
    <row r="67" spans="4:8">
      <c r="D67" s="107"/>
      <c r="E67" s="107" t="s">
        <v>112</v>
      </c>
      <c r="F67" s="107"/>
      <c r="G67" s="107"/>
      <c r="H67" s="36"/>
    </row>
    <row r="68" spans="4:8">
      <c r="D68" s="107"/>
      <c r="E68" s="107" t="s">
        <v>113</v>
      </c>
      <c r="F68" s="107"/>
      <c r="G68" s="107"/>
      <c r="H68" s="36"/>
    </row>
    <row r="69" ht="15.6" spans="4:8">
      <c r="E69" s="109" t="s">
        <v>114</v>
      </c>
      <c r="F69" s="36"/>
      <c r="G69" s="48"/>
      <c r="H69" s="36"/>
    </row>
    <row r="70" spans="4:8">
      <c r="E70" s="109" t="s">
        <v>115</v>
      </c>
    </row>
    <row r="71" spans="4:8">
      <c r="E71" s="108" t="s">
        <v>116</v>
      </c>
    </row>
  </sheetData>
  <mergeCells count="2">
    <mergeCell ref="B5:G5"/>
    <mergeCell ref="B6:G6"/>
  </mergeCells>
  <pageMargins left="0.45" right="0.2" top="0.75" bottom="0.75" header="0.3" footer="0.3"/>
  <pageSetup paperSize="9" scale="67" orientation="portrait"/>
  <headerFooter>
    <oddFooter>&amp;L&amp;Z&amp;F&amp;A&amp;C&amp;Z&amp;F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topLeftCell="A52" workbookViewId="0">
      <selection activeCell="I77" sqref="I77"/>
    </sheetView>
  </sheetViews>
  <sheetFormatPr defaultColWidth="9" defaultRowHeight="14.4"/>
  <cols>
    <col min="1" max="1" width="4.42592592592593" customWidth="1"/>
    <col min="2" max="2" width="8.71296296296296" customWidth="1"/>
    <col min="3" max="3" width="14.712962962963" customWidth="1"/>
    <col min="4" max="4" width="13" customWidth="1"/>
    <col min="5" max="5" width="28.5740740740741" customWidth="1"/>
    <col min="6" max="6" width="19.4259259259259" customWidth="1"/>
    <col min="7" max="7" width="18.5740740740741" customWidth="1"/>
    <col min="8" max="8" width="14.287037037037" customWidth="1"/>
    <col min="9" max="9" width="18.8518518518519" customWidth="1"/>
    <col min="10" max="10" width="4" customWidth="1"/>
    <col min="11" max="11" width="7.57407407407407" customWidth="1"/>
    <col min="12" max="12" width="15.8518518518519" customWidth="1"/>
  </cols>
  <sheetData>
    <row r="1" spans="1:11">
      <c r="B1" s="1"/>
    </row>
    <row r="2" ht="15.6" spans="1:11">
      <c r="B2" s="1"/>
      <c r="C2" s="2"/>
    </row>
    <row r="3" spans="1:11">
      <c r="A3" s="3"/>
      <c r="B3" s="1"/>
      <c r="C3" s="4" t="s">
        <v>2</v>
      </c>
      <c r="D3" s="1"/>
      <c r="F3" s="1"/>
      <c r="G3" s="1"/>
      <c r="H3" s="1"/>
    </row>
    <row r="4" spans="1:11">
      <c r="A4" s="3"/>
      <c r="B4" s="1"/>
      <c r="C4" s="4"/>
      <c r="D4" s="1"/>
      <c r="F4" s="1"/>
      <c r="G4" s="1"/>
      <c r="H4" s="1"/>
    </row>
    <row r="5" ht="17.4" spans="1:11">
      <c r="A5" s="1"/>
      <c r="B5" s="163" t="s">
        <v>3</v>
      </c>
      <c r="C5" s="163"/>
      <c r="D5" s="163"/>
      <c r="E5" s="163"/>
      <c r="F5" s="163"/>
      <c r="G5" s="163"/>
      <c r="H5" s="6"/>
    </row>
    <row r="6" ht="17.4" spans="1:11">
      <c r="A6" s="1"/>
      <c r="B6" s="163" t="s">
        <v>117</v>
      </c>
      <c r="C6" s="163"/>
      <c r="D6" s="163"/>
      <c r="E6" s="163"/>
      <c r="F6" s="163"/>
      <c r="G6" s="163"/>
      <c r="H6" s="6"/>
    </row>
    <row r="7" ht="21.75" customHeight="1" spans="1:11">
      <c r="A7" s="1"/>
      <c r="B7" s="7"/>
      <c r="C7" s="1"/>
      <c r="D7" s="1"/>
      <c r="E7" s="1"/>
      <c r="F7" s="8"/>
      <c r="G7" s="1"/>
      <c r="H7" s="1"/>
    </row>
    <row r="8" ht="16.5" customHeight="1" spans="1:11">
      <c r="A8" s="1"/>
      <c r="B8" s="7" t="s">
        <v>118</v>
      </c>
      <c r="C8" s="4" t="s">
        <v>119</v>
      </c>
      <c r="D8" s="1"/>
      <c r="E8" s="1"/>
      <c r="F8" s="8"/>
      <c r="G8" s="1"/>
      <c r="H8" s="1"/>
    </row>
    <row r="9" ht="16.5" customHeight="1" spans="1:11">
      <c r="A9" s="1"/>
      <c r="B9" s="7"/>
      <c r="C9" s="4" t="s">
        <v>120</v>
      </c>
      <c r="D9" s="1"/>
      <c r="E9" s="1"/>
      <c r="F9" s="8"/>
      <c r="G9" s="1"/>
      <c r="H9" s="1"/>
    </row>
    <row r="10" ht="12" customHeight="1" spans="1:11">
      <c r="A10" s="1"/>
      <c r="B10" s="7"/>
      <c r="C10" s="1"/>
      <c r="D10" s="1"/>
      <c r="E10" s="1"/>
      <c r="F10" s="8"/>
      <c r="G10" s="1"/>
      <c r="H10" s="1"/>
    </row>
    <row r="11" ht="14.25" customHeight="1" spans="1:11">
      <c r="A11" s="1"/>
      <c r="B11" s="1" t="s">
        <v>0</v>
      </c>
      <c r="C11" s="2" t="s">
        <v>1</v>
      </c>
      <c r="D11" s="1"/>
      <c r="E11" s="1"/>
      <c r="F11" s="8"/>
      <c r="G11" s="1"/>
      <c r="H11" s="1"/>
    </row>
    <row r="12" ht="15.6" spans="1:11">
      <c r="A12" s="1"/>
      <c r="B12" s="112" t="s">
        <v>7</v>
      </c>
      <c r="C12" s="112"/>
      <c r="D12" s="142">
        <v>7379.89</v>
      </c>
      <c r="E12" s="2" t="s">
        <v>8</v>
      </c>
      <c r="G12" s="143"/>
      <c r="H12" s="16"/>
      <c r="I12" s="17"/>
      <c r="K12" s="18"/>
    </row>
    <row r="13" ht="15.6" spans="1:11">
      <c r="A13" s="1"/>
      <c r="B13" s="114" t="s">
        <v>9</v>
      </c>
      <c r="C13" s="112"/>
      <c r="D13" s="144">
        <v>2</v>
      </c>
      <c r="F13" s="18"/>
      <c r="G13" s="145"/>
      <c r="H13" s="22"/>
    </row>
    <row r="14" ht="15.6" spans="1:11">
      <c r="A14" s="1"/>
      <c r="B14" s="2" t="s">
        <v>10</v>
      </c>
      <c r="C14" s="2"/>
      <c r="D14" s="142">
        <f>+D12*D13</f>
        <v>14759.78</v>
      </c>
      <c r="E14" s="2" t="s">
        <v>11</v>
      </c>
      <c r="F14" s="27"/>
      <c r="G14" s="146"/>
      <c r="H14" s="2"/>
    </row>
    <row r="15" ht="9.75" customHeight="1" spans="1:11">
      <c r="A15" s="1"/>
      <c r="B15" s="2"/>
      <c r="C15" s="2"/>
      <c r="D15" s="2"/>
      <c r="E15" s="2"/>
      <c r="F15" s="2"/>
      <c r="G15" s="66"/>
      <c r="H15" s="2"/>
    </row>
    <row r="16" ht="15.6" spans="1:11">
      <c r="A16" s="1"/>
      <c r="B16" s="2" t="s">
        <v>12</v>
      </c>
      <c r="C16" s="2"/>
      <c r="D16" s="2"/>
      <c r="E16" s="2"/>
      <c r="F16" s="170" t="s">
        <v>13</v>
      </c>
      <c r="H16" s="30"/>
    </row>
    <row r="17" ht="15.6" spans="1:8">
      <c r="A17" s="1"/>
      <c r="B17" s="2" t="s">
        <v>14</v>
      </c>
      <c r="C17" s="2"/>
      <c r="D17" s="2"/>
      <c r="E17" s="2"/>
      <c r="F17" s="161">
        <v>465.22</v>
      </c>
      <c r="H17" s="30"/>
    </row>
    <row r="18" ht="15.6" spans="1:8">
      <c r="B18" s="171" t="s">
        <v>15</v>
      </c>
      <c r="F18" s="164"/>
      <c r="H18" s="30"/>
    </row>
    <row r="19" ht="15.6" spans="1:8">
      <c r="B19" s="35"/>
      <c r="F19" s="164"/>
      <c r="H19" s="30"/>
    </row>
    <row r="20" ht="15.6" spans="1:8">
      <c r="B20" s="171" t="s">
        <v>121</v>
      </c>
      <c r="F20" s="164">
        <f>ROUND(+F17*0.5,2)</f>
        <v>232.61</v>
      </c>
      <c r="H20" s="30"/>
    </row>
    <row r="21" ht="14.25" customHeight="1" spans="1:8">
      <c r="A21" s="1"/>
      <c r="B21" s="2"/>
      <c r="C21" s="2"/>
      <c r="D21" s="2"/>
      <c r="E21" s="2"/>
      <c r="F21" s="48"/>
      <c r="G21" s="49"/>
      <c r="H21" s="2"/>
    </row>
    <row r="22" ht="15.6" spans="1:8">
      <c r="A22" s="1"/>
      <c r="B22" s="2" t="s">
        <v>122</v>
      </c>
      <c r="C22" s="2"/>
      <c r="D22" s="2"/>
      <c r="E22" s="2"/>
      <c r="F22" s="161">
        <v>6.67</v>
      </c>
      <c r="G22" s="54" t="s">
        <v>6</v>
      </c>
      <c r="H22" s="2"/>
    </row>
    <row r="23" ht="15.6" spans="1:8">
      <c r="A23" s="1"/>
      <c r="C23" s="2"/>
      <c r="D23" s="58" t="s">
        <v>17</v>
      </c>
      <c r="E23" s="58" t="s">
        <v>18</v>
      </c>
      <c r="F23" s="58" t="s">
        <v>19</v>
      </c>
    </row>
    <row r="24" ht="15.6" spans="1:8">
      <c r="A24" s="1"/>
      <c r="B24" s="2" t="s">
        <v>20</v>
      </c>
      <c r="C24" s="2"/>
      <c r="D24" s="62">
        <f>+D14</f>
        <v>14759.78</v>
      </c>
      <c r="E24" s="62">
        <f>+F20</f>
        <v>232.61</v>
      </c>
      <c r="F24" s="62">
        <f>+D24*E24</f>
        <v>3433272.4258</v>
      </c>
    </row>
    <row r="25" ht="14.25" customHeight="1" spans="1:8">
      <c r="A25" s="1"/>
      <c r="B25" s="2"/>
      <c r="C25" s="2"/>
      <c r="D25" s="2"/>
      <c r="E25" s="2"/>
      <c r="F25" s="30"/>
      <c r="G25" s="30"/>
      <c r="H25" s="30"/>
    </row>
    <row r="26" ht="15.6" spans="1:8">
      <c r="A26" s="1"/>
      <c r="B26" t="s">
        <v>21</v>
      </c>
      <c r="F26" s="30">
        <f>+F24</f>
        <v>3433272.4258</v>
      </c>
      <c r="G26" s="30"/>
      <c r="H26" s="30"/>
    </row>
    <row r="27" ht="15.6" spans="1:8">
      <c r="A27" s="1"/>
      <c r="F27" s="30"/>
      <c r="G27" s="30"/>
      <c r="H27" s="30"/>
    </row>
    <row r="28" ht="15.6" spans="1:8">
      <c r="A28" s="1"/>
      <c r="B28" t="s">
        <v>22</v>
      </c>
      <c r="F28" s="30">
        <f>+F26*1.02</f>
        <v>3501937.874316</v>
      </c>
      <c r="G28" s="172" t="s">
        <v>23</v>
      </c>
      <c r="H28" s="30"/>
    </row>
    <row r="29" ht="15.6" spans="1:8">
      <c r="A29" s="1"/>
      <c r="B29" t="s">
        <v>24</v>
      </c>
      <c r="F29" s="30">
        <f>+F28*1.02</f>
        <v>3571976.63180232</v>
      </c>
      <c r="G29" s="172" t="s">
        <v>23</v>
      </c>
      <c r="H29" s="30"/>
    </row>
    <row r="30" ht="15.6" spans="1:8">
      <c r="A30" s="1"/>
      <c r="B30" t="s">
        <v>123</v>
      </c>
      <c r="F30" s="30">
        <f>+F29*1.02</f>
        <v>3643416.16443837</v>
      </c>
      <c r="G30" s="172" t="s">
        <v>23</v>
      </c>
      <c r="H30" s="30"/>
    </row>
    <row r="31" ht="15.6" spans="1:8">
      <c r="A31" s="1"/>
      <c r="B31" t="s">
        <v>124</v>
      </c>
      <c r="F31" s="30">
        <f>+F30*1.02</f>
        <v>3716284.48772713</v>
      </c>
      <c r="G31" s="172" t="s">
        <v>23</v>
      </c>
      <c r="H31" s="30"/>
    </row>
    <row r="32" ht="15.6" spans="1:8">
      <c r="A32" s="1"/>
      <c r="F32" s="30"/>
      <c r="G32" s="30"/>
      <c r="H32" s="30"/>
    </row>
    <row r="33" ht="18" spans="1:12">
      <c r="A33" s="1"/>
      <c r="B33" s="64" t="s">
        <v>25</v>
      </c>
      <c r="C33" s="65"/>
      <c r="D33" s="65" t="s">
        <v>26</v>
      </c>
      <c r="E33" s="65"/>
      <c r="F33" s="30">
        <f>(F30*10+F31*2)</f>
        <v>43866730.6198379</v>
      </c>
      <c r="G33" s="66"/>
    </row>
    <row r="34" ht="13.5" customHeight="1" spans="1:12">
      <c r="A34" s="1"/>
      <c r="B34" s="2"/>
      <c r="C34" s="2"/>
      <c r="D34" s="2"/>
      <c r="E34" s="2"/>
      <c r="F34" s="2"/>
      <c r="G34" s="2"/>
      <c r="H34" s="2"/>
    </row>
    <row r="35" ht="42.75" customHeight="1" spans="1:12">
      <c r="A35" s="1"/>
      <c r="B35" s="67" t="s">
        <v>27</v>
      </c>
      <c r="C35" s="67" t="s">
        <v>28</v>
      </c>
      <c r="D35" s="67"/>
      <c r="E35" s="71" t="s">
        <v>29</v>
      </c>
      <c r="F35" s="71" t="s">
        <v>30</v>
      </c>
      <c r="G35" s="72" t="s">
        <v>31</v>
      </c>
      <c r="H35" s="73" t="s">
        <v>32</v>
      </c>
      <c r="I35" s="74" t="s">
        <v>33</v>
      </c>
    </row>
    <row r="36" ht="15.6" spans="1:12">
      <c r="A36" s="1"/>
      <c r="B36" s="75"/>
      <c r="C36" s="75"/>
      <c r="D36" s="75"/>
      <c r="E36" s="78" t="s">
        <v>125</v>
      </c>
      <c r="F36" s="78" t="s">
        <v>126</v>
      </c>
      <c r="G36" s="79"/>
      <c r="H36" s="80">
        <f>F22</f>
        <v>6.67</v>
      </c>
      <c r="I36" s="81"/>
    </row>
    <row r="37" ht="15.6" spans="1:12">
      <c r="A37" s="1"/>
      <c r="B37" s="173" t="s">
        <v>36</v>
      </c>
      <c r="C37" s="117"/>
      <c r="D37" s="174" t="s">
        <v>37</v>
      </c>
      <c r="E37" s="175" t="s">
        <v>38</v>
      </c>
      <c r="F37" s="175" t="s">
        <v>39</v>
      </c>
      <c r="G37" s="175" t="s">
        <v>127</v>
      </c>
      <c r="H37" s="176" t="s">
        <v>41</v>
      </c>
      <c r="I37" s="176" t="s">
        <v>42</v>
      </c>
      <c r="L37" s="66"/>
    </row>
    <row r="38" ht="15.6" spans="1:12">
      <c r="A38" s="1"/>
      <c r="B38" s="87">
        <v>1</v>
      </c>
      <c r="C38" s="177" t="s">
        <v>128</v>
      </c>
      <c r="D38" s="55" t="s">
        <v>129</v>
      </c>
      <c r="E38" s="90">
        <f>+F30</f>
        <v>3643416.16443837</v>
      </c>
      <c r="F38" s="91">
        <f>+F31</f>
        <v>3716284.48772713</v>
      </c>
      <c r="G38" s="92">
        <f>(E38*10)+(F38*2)</f>
        <v>43866730.6198379</v>
      </c>
      <c r="H38" s="93">
        <v>1</v>
      </c>
      <c r="I38" s="94">
        <f t="shared" ref="I38:I67" si="0">+G38*H38</f>
        <v>43866730.6198379</v>
      </c>
      <c r="L38" s="66"/>
    </row>
    <row r="39" ht="15.6" spans="1:12">
      <c r="A39" s="1"/>
      <c r="B39" s="87">
        <v>2</v>
      </c>
      <c r="C39" s="177" t="s">
        <v>130</v>
      </c>
      <c r="D39" s="55" t="s">
        <v>131</v>
      </c>
      <c r="E39" s="90">
        <f>+F38</f>
        <v>3716284.48772713</v>
      </c>
      <c r="F39" s="95">
        <f>E39*1.02</f>
        <v>3790610.17748168</v>
      </c>
      <c r="G39" s="92">
        <f t="shared" ref="G39:G67" si="1">(E39*10)+(F39*2)</f>
        <v>44744065.2322347</v>
      </c>
      <c r="H39" s="96">
        <f>1/(1+(0.01*$F$22))^(B39-1)</f>
        <v>0.937470704040499</v>
      </c>
      <c r="I39" s="94">
        <f t="shared" si="0"/>
        <v>41946250.3348971</v>
      </c>
      <c r="L39" s="66"/>
    </row>
    <row r="40" ht="15.6" spans="1:12">
      <c r="A40" s="1"/>
      <c r="B40" s="87">
        <v>3</v>
      </c>
      <c r="C40" s="177" t="s">
        <v>132</v>
      </c>
      <c r="D40" s="55" t="s">
        <v>133</v>
      </c>
      <c r="E40" s="90">
        <f t="shared" ref="E40:E67" si="2">+F39</f>
        <v>3790610.17748168</v>
      </c>
      <c r="F40" s="95">
        <f t="shared" ref="F40:F67" si="3">E40*1.02</f>
        <v>3866422.38103131</v>
      </c>
      <c r="G40" s="92">
        <f t="shared" si="1"/>
        <v>45638946.5368794</v>
      </c>
      <c r="H40" s="96">
        <f t="shared" ref="H40:H67" si="4">1/(1+(0.01*$F$22))^(B40-1)</f>
        <v>0.878851320934188</v>
      </c>
      <c r="I40" s="94">
        <f t="shared" si="0"/>
        <v>40109848.4499813</v>
      </c>
      <c r="L40" s="66"/>
    </row>
    <row r="41" ht="15.6" spans="1:12">
      <c r="A41" s="1"/>
      <c r="B41" s="87">
        <v>4</v>
      </c>
      <c r="C41" s="177" t="s">
        <v>134</v>
      </c>
      <c r="D41" s="55" t="s">
        <v>135</v>
      </c>
      <c r="E41" s="90">
        <f t="shared" si="2"/>
        <v>3866422.38103131</v>
      </c>
      <c r="F41" s="95">
        <f t="shared" si="3"/>
        <v>3943750.82865194</v>
      </c>
      <c r="G41" s="92">
        <f t="shared" si="1"/>
        <v>46551725.467617</v>
      </c>
      <c r="H41" s="96">
        <f t="shared" si="4"/>
        <v>0.823897366583096</v>
      </c>
      <c r="I41" s="94">
        <f t="shared" si="0"/>
        <v>38353844.0226689</v>
      </c>
      <c r="L41" s="66"/>
    </row>
    <row r="42" ht="15.6" spans="1:12">
      <c r="A42" s="1"/>
      <c r="B42" s="87">
        <v>5</v>
      </c>
      <c r="C42" s="177" t="s">
        <v>136</v>
      </c>
      <c r="D42" s="55" t="s">
        <v>137</v>
      </c>
      <c r="E42" s="90">
        <f t="shared" si="2"/>
        <v>3943750.82865194</v>
      </c>
      <c r="F42" s="95">
        <f t="shared" si="3"/>
        <v>4022625.84522498</v>
      </c>
      <c r="G42" s="92">
        <f t="shared" si="1"/>
        <v>47482759.9769693</v>
      </c>
      <c r="H42" s="96">
        <f t="shared" si="4"/>
        <v>0.772379644307768</v>
      </c>
      <c r="I42" s="94">
        <f t="shared" si="0"/>
        <v>36674717.2617627</v>
      </c>
      <c r="L42" s="66"/>
    </row>
    <row r="43" ht="15.6" spans="1:12">
      <c r="A43" s="1"/>
      <c r="B43" s="87">
        <v>6</v>
      </c>
      <c r="C43" s="177" t="s">
        <v>138</v>
      </c>
      <c r="D43" s="55" t="s">
        <v>139</v>
      </c>
      <c r="E43" s="90">
        <f t="shared" si="2"/>
        <v>4022625.84522498</v>
      </c>
      <c r="F43" s="95">
        <f t="shared" si="3"/>
        <v>4103078.36212948</v>
      </c>
      <c r="G43" s="92">
        <f t="shared" si="1"/>
        <v>48432415.1765087</v>
      </c>
      <c r="H43" s="96">
        <f t="shared" si="4"/>
        <v>0.724083288935753</v>
      </c>
      <c r="I43" s="94">
        <f t="shared" si="0"/>
        <v>35069102.4721083</v>
      </c>
      <c r="L43" s="66"/>
    </row>
    <row r="44" ht="15.6" spans="1:12">
      <c r="A44" s="1"/>
      <c r="B44" s="87">
        <v>7</v>
      </c>
      <c r="C44" s="177" t="s">
        <v>140</v>
      </c>
      <c r="D44" s="55" t="s">
        <v>141</v>
      </c>
      <c r="E44" s="90">
        <f t="shared" si="2"/>
        <v>4103078.36212948</v>
      </c>
      <c r="F44" s="95">
        <f t="shared" si="3"/>
        <v>4185139.92937207</v>
      </c>
      <c r="G44" s="92">
        <f t="shared" si="1"/>
        <v>49401063.4800389</v>
      </c>
      <c r="H44" s="96">
        <f t="shared" si="4"/>
        <v>0.67880687066256</v>
      </c>
      <c r="I44" s="94">
        <f t="shared" si="0"/>
        <v>33533781.3082877</v>
      </c>
      <c r="L44" s="66"/>
    </row>
    <row r="45" ht="15.6" spans="1:12">
      <c r="A45" s="8"/>
      <c r="B45" s="87">
        <v>8</v>
      </c>
      <c r="C45" s="177" t="s">
        <v>142</v>
      </c>
      <c r="D45" s="55" t="s">
        <v>143</v>
      </c>
      <c r="E45" s="90">
        <f t="shared" si="2"/>
        <v>4185139.92937207</v>
      </c>
      <c r="F45" s="95">
        <f t="shared" si="3"/>
        <v>4268842.72795951</v>
      </c>
      <c r="G45" s="92">
        <f t="shared" si="1"/>
        <v>50389084.7496397</v>
      </c>
      <c r="H45" s="96">
        <f t="shared" si="4"/>
        <v>0.636361554947558</v>
      </c>
      <c r="I45" s="94">
        <f t="shared" si="0"/>
        <v>32065676.323665</v>
      </c>
      <c r="L45" s="66"/>
    </row>
    <row r="46" ht="15.6" spans="1:12">
      <c r="A46" s="1"/>
      <c r="B46" s="87">
        <v>9</v>
      </c>
      <c r="C46" s="177" t="s">
        <v>144</v>
      </c>
      <c r="D46" s="55" t="s">
        <v>145</v>
      </c>
      <c r="E46" s="90">
        <f t="shared" si="2"/>
        <v>4268842.72795951</v>
      </c>
      <c r="F46" s="95">
        <f t="shared" si="3"/>
        <v>4354219.5825187</v>
      </c>
      <c r="G46" s="92">
        <f t="shared" si="1"/>
        <v>51396866.4446325</v>
      </c>
      <c r="H46" s="96">
        <f t="shared" si="4"/>
        <v>0.596570314940994</v>
      </c>
      <c r="I46" s="94">
        <f t="shared" si="0"/>
        <v>30661844.8018546</v>
      </c>
      <c r="L46" s="66"/>
    </row>
    <row r="47" ht="15.6" spans="1:12">
      <c r="A47" s="1"/>
      <c r="B47" s="87">
        <v>10</v>
      </c>
      <c r="C47" s="177" t="s">
        <v>146</v>
      </c>
      <c r="D47" s="55" t="s">
        <v>147</v>
      </c>
      <c r="E47" s="90">
        <f t="shared" si="2"/>
        <v>4354219.5825187</v>
      </c>
      <c r="F47" s="95">
        <f t="shared" si="3"/>
        <v>4441303.97416907</v>
      </c>
      <c r="G47" s="92">
        <f t="shared" si="1"/>
        <v>52424803.7735251</v>
      </c>
      <c r="H47" s="96">
        <f t="shared" si="4"/>
        <v>0.559267193157396</v>
      </c>
      <c r="I47" s="94">
        <f t="shared" si="0"/>
        <v>29319472.8582466</v>
      </c>
      <c r="L47" s="66"/>
    </row>
    <row r="48" ht="15.6" spans="1:12">
      <c r="A48" s="1"/>
      <c r="B48" s="87">
        <v>11</v>
      </c>
      <c r="C48" s="177" t="s">
        <v>148</v>
      </c>
      <c r="D48" s="55" t="s">
        <v>149</v>
      </c>
      <c r="E48" s="90">
        <f t="shared" si="2"/>
        <v>4441303.97416907</v>
      </c>
      <c r="F48" s="95">
        <f t="shared" si="3"/>
        <v>4530130.05365245</v>
      </c>
      <c r="G48" s="92">
        <f t="shared" si="1"/>
        <v>53473299.8489956</v>
      </c>
      <c r="H48" s="96">
        <f t="shared" si="4"/>
        <v>0.524296609316017</v>
      </c>
      <c r="I48" s="94">
        <f t="shared" si="0"/>
        <v>28035869.7997671</v>
      </c>
      <c r="L48" s="66"/>
    </row>
    <row r="49" ht="15.6" spans="1:12">
      <c r="A49" s="1"/>
      <c r="B49" s="87">
        <v>12</v>
      </c>
      <c r="C49" s="177" t="s">
        <v>150</v>
      </c>
      <c r="D49" s="55" t="s">
        <v>151</v>
      </c>
      <c r="E49" s="90">
        <f t="shared" si="2"/>
        <v>4530130.05365245</v>
      </c>
      <c r="F49" s="95">
        <f t="shared" si="3"/>
        <v>4620732.6547255</v>
      </c>
      <c r="G49" s="92">
        <f t="shared" si="1"/>
        <v>54542765.8459755</v>
      </c>
      <c r="H49" s="96">
        <f t="shared" si="4"/>
        <v>0.491512711461533</v>
      </c>
      <c r="I49" s="94">
        <f t="shared" si="0"/>
        <v>26808462.7315669</v>
      </c>
      <c r="L49" s="66"/>
    </row>
    <row r="50" ht="15.6" spans="1:12">
      <c r="A50" s="1"/>
      <c r="B50" s="87">
        <v>13</v>
      </c>
      <c r="C50" s="177" t="s">
        <v>152</v>
      </c>
      <c r="D50" s="55" t="s">
        <v>153</v>
      </c>
      <c r="E50" s="90">
        <f t="shared" si="2"/>
        <v>4620732.6547255</v>
      </c>
      <c r="F50" s="95">
        <f t="shared" si="3"/>
        <v>4713147.30782001</v>
      </c>
      <c r="G50" s="92">
        <f t="shared" si="1"/>
        <v>55633621.162895</v>
      </c>
      <c r="H50" s="96">
        <f t="shared" si="4"/>
        <v>0.460778767658698</v>
      </c>
      <c r="I50" s="94">
        <f t="shared" si="0"/>
        <v>25634791.3998296</v>
      </c>
      <c r="L50" s="66"/>
    </row>
    <row r="51" ht="15.6" spans="1:12">
      <c r="A51" s="1"/>
      <c r="B51" s="87">
        <v>14</v>
      </c>
      <c r="C51" s="177" t="s">
        <v>154</v>
      </c>
      <c r="D51" s="55" t="s">
        <v>155</v>
      </c>
      <c r="E51" s="90">
        <f t="shared" si="2"/>
        <v>4713147.30782001</v>
      </c>
      <c r="F51" s="95">
        <f t="shared" si="3"/>
        <v>4807410.25397641</v>
      </c>
      <c r="G51" s="92">
        <f t="shared" si="1"/>
        <v>56746293.5861529</v>
      </c>
      <c r="H51" s="96">
        <f t="shared" si="4"/>
        <v>0.431966595723913</v>
      </c>
      <c r="I51" s="94">
        <f t="shared" si="0"/>
        <v>24512503.2603602</v>
      </c>
      <c r="L51" s="66"/>
    </row>
    <row r="52" ht="15.6" spans="1:12">
      <c r="A52" s="1"/>
      <c r="B52" s="87">
        <v>15</v>
      </c>
      <c r="C52" s="177" t="s">
        <v>156</v>
      </c>
      <c r="D52" s="55" t="s">
        <v>157</v>
      </c>
      <c r="E52" s="90">
        <f t="shared" si="2"/>
        <v>4807410.25397641</v>
      </c>
      <c r="F52" s="95">
        <f t="shared" si="3"/>
        <v>4903558.45905594</v>
      </c>
      <c r="G52" s="92">
        <f t="shared" si="1"/>
        <v>57881219.457876</v>
      </c>
      <c r="H52" s="96">
        <f t="shared" si="4"/>
        <v>0.404956028615274</v>
      </c>
      <c r="I52" s="94">
        <f t="shared" si="0"/>
        <v>23439348.7630706</v>
      </c>
      <c r="L52" s="66"/>
    </row>
    <row r="53" ht="15.6" spans="1:12">
      <c r="A53" s="1"/>
      <c r="B53" s="87">
        <v>16</v>
      </c>
      <c r="C53" s="177" t="s">
        <v>158</v>
      </c>
      <c r="D53" s="55" t="s">
        <v>159</v>
      </c>
      <c r="E53" s="90">
        <f t="shared" si="2"/>
        <v>4903558.45905594</v>
      </c>
      <c r="F53" s="95">
        <f t="shared" si="3"/>
        <v>5001629.62823706</v>
      </c>
      <c r="G53" s="92">
        <f t="shared" si="1"/>
        <v>59038843.8470335</v>
      </c>
      <c r="H53" s="96">
        <f t="shared" si="4"/>
        <v>0.379634413251405</v>
      </c>
      <c r="I53" s="94">
        <f t="shared" si="0"/>
        <v>22413176.8429099</v>
      </c>
      <c r="L53" s="66"/>
    </row>
    <row r="54" ht="15.6" spans="1:12">
      <c r="A54" s="1"/>
      <c r="B54" s="87">
        <v>17</v>
      </c>
      <c r="C54" s="177" t="s">
        <v>160</v>
      </c>
      <c r="D54" s="55" t="s">
        <v>161</v>
      </c>
      <c r="E54" s="90">
        <f t="shared" si="2"/>
        <v>5001629.62823706</v>
      </c>
      <c r="F54" s="95">
        <f t="shared" si="3"/>
        <v>5101662.2208018</v>
      </c>
      <c r="G54" s="92">
        <f t="shared" si="1"/>
        <v>60219620.7239742</v>
      </c>
      <c r="H54" s="96">
        <f t="shared" si="4"/>
        <v>0.355896140668797</v>
      </c>
      <c r="I54" s="94">
        <f t="shared" si="0"/>
        <v>21431930.6082011</v>
      </c>
      <c r="L54" s="66"/>
    </row>
    <row r="55" ht="15.6" spans="1:12">
      <c r="A55" s="1"/>
      <c r="B55" s="87">
        <v>18</v>
      </c>
      <c r="C55" s="177" t="s">
        <v>162</v>
      </c>
      <c r="D55" s="55" t="s">
        <v>163</v>
      </c>
      <c r="E55" s="90">
        <f t="shared" si="2"/>
        <v>5101662.2208018</v>
      </c>
      <c r="F55" s="95">
        <f t="shared" si="3"/>
        <v>5203695.46521784</v>
      </c>
      <c r="G55" s="92">
        <f t="shared" si="1"/>
        <v>61424013.1384537</v>
      </c>
      <c r="H55" s="96">
        <f t="shared" si="4"/>
        <v>0.333642205558073</v>
      </c>
      <c r="I55" s="94">
        <f t="shared" si="0"/>
        <v>20493643.2177418</v>
      </c>
      <c r="L55" s="66"/>
    </row>
    <row r="56" ht="15.6" spans="1:12">
      <c r="A56" s="1"/>
      <c r="B56" s="87">
        <v>19</v>
      </c>
      <c r="C56" s="177" t="s">
        <v>164</v>
      </c>
      <c r="D56" s="55" t="s">
        <v>165</v>
      </c>
      <c r="E56" s="90">
        <f t="shared" si="2"/>
        <v>5203695.46521784</v>
      </c>
      <c r="F56" s="95">
        <f t="shared" si="3"/>
        <v>5307769.37452219</v>
      </c>
      <c r="G56" s="92">
        <f t="shared" si="1"/>
        <v>62652493.4012228</v>
      </c>
      <c r="H56" s="96">
        <f t="shared" si="4"/>
        <v>0.312779793342152</v>
      </c>
      <c r="I56" s="94">
        <f t="shared" si="0"/>
        <v>19596433.938405</v>
      </c>
      <c r="L56" s="66"/>
    </row>
    <row r="57" ht="15.6" spans="1:12">
      <c r="A57" s="1"/>
      <c r="B57" s="87">
        <v>20</v>
      </c>
      <c r="C57" s="177" t="s">
        <v>166</v>
      </c>
      <c r="D57" s="55" t="s">
        <v>167</v>
      </c>
      <c r="E57" s="90">
        <f t="shared" si="2"/>
        <v>5307769.37452219</v>
      </c>
      <c r="F57" s="95">
        <f t="shared" si="3"/>
        <v>5413924.76201264</v>
      </c>
      <c r="G57" s="92">
        <f t="shared" si="1"/>
        <v>63905543.2692472</v>
      </c>
      <c r="H57" s="96">
        <f t="shared" si="4"/>
        <v>0.293221893074109</v>
      </c>
      <c r="I57" s="94">
        <f t="shared" si="0"/>
        <v>18738504.375338</v>
      </c>
      <c r="L57" s="66"/>
    </row>
    <row r="58" ht="15.6" spans="1:12">
      <c r="A58" s="1"/>
      <c r="B58" s="87">
        <v>21</v>
      </c>
      <c r="C58" s="177" t="s">
        <v>168</v>
      </c>
      <c r="D58" s="55" t="s">
        <v>169</v>
      </c>
      <c r="E58" s="90">
        <f t="shared" si="2"/>
        <v>5413924.76201264</v>
      </c>
      <c r="F58" s="95">
        <f t="shared" si="3"/>
        <v>5522203.25725289</v>
      </c>
      <c r="G58" s="92">
        <f t="shared" si="1"/>
        <v>65183654.1346322</v>
      </c>
      <c r="H58" s="96">
        <f t="shared" si="4"/>
        <v>0.274886934540273</v>
      </c>
      <c r="I58" s="94">
        <f t="shared" si="0"/>
        <v>17918134.8672024</v>
      </c>
      <c r="L58" s="66"/>
    </row>
    <row r="59" ht="15.6" spans="1:12">
      <c r="A59" s="1"/>
      <c r="B59" s="87">
        <v>22</v>
      </c>
      <c r="C59" s="177" t="s">
        <v>170</v>
      </c>
      <c r="D59" s="55" t="s">
        <v>171</v>
      </c>
      <c r="E59" s="90">
        <f t="shared" si="2"/>
        <v>5522203.25725289</v>
      </c>
      <c r="F59" s="95">
        <f t="shared" si="3"/>
        <v>5632647.32239795</v>
      </c>
      <c r="G59" s="92">
        <f t="shared" si="1"/>
        <v>66487327.2173248</v>
      </c>
      <c r="H59" s="96">
        <f t="shared" si="4"/>
        <v>0.257698448055004</v>
      </c>
      <c r="I59" s="94">
        <f t="shared" si="0"/>
        <v>17133681.0392298</v>
      </c>
      <c r="L59" s="66"/>
    </row>
    <row r="60" ht="15.6" spans="1:12">
      <c r="A60" s="1"/>
      <c r="B60" s="87">
        <v>23</v>
      </c>
      <c r="C60" s="177" t="s">
        <v>172</v>
      </c>
      <c r="D60" s="55" t="s">
        <v>173</v>
      </c>
      <c r="E60" s="90">
        <f t="shared" si="2"/>
        <v>5632647.32239795</v>
      </c>
      <c r="F60" s="95">
        <f t="shared" si="3"/>
        <v>5745300.26884591</v>
      </c>
      <c r="G60" s="92">
        <f t="shared" si="1"/>
        <v>67817073.7616713</v>
      </c>
      <c r="H60" s="96">
        <f t="shared" si="4"/>
        <v>0.241584745528268</v>
      </c>
      <c r="I60" s="94">
        <f t="shared" si="0"/>
        <v>16383570.5071852</v>
      </c>
      <c r="L60" s="66"/>
    </row>
    <row r="61" ht="15.6" spans="1:12">
      <c r="A61" s="1"/>
      <c r="B61" s="87">
        <v>24</v>
      </c>
      <c r="C61" s="177" t="s">
        <v>174</v>
      </c>
      <c r="D61" s="55" t="s">
        <v>175</v>
      </c>
      <c r="E61" s="90">
        <f t="shared" si="2"/>
        <v>5745300.26884591</v>
      </c>
      <c r="F61" s="95">
        <f t="shared" si="3"/>
        <v>5860206.27422282</v>
      </c>
      <c r="G61" s="92">
        <f t="shared" si="1"/>
        <v>69173415.2369047</v>
      </c>
      <c r="H61" s="96">
        <f t="shared" si="4"/>
        <v>0.22647862147583</v>
      </c>
      <c r="I61" s="94">
        <f t="shared" si="0"/>
        <v>15666299.7256294</v>
      </c>
      <c r="L61" s="66"/>
    </row>
    <row r="62" ht="15.6" spans="1:12">
      <c r="A62" s="1"/>
      <c r="B62" s="87">
        <v>25</v>
      </c>
      <c r="C62" s="177" t="s">
        <v>176</v>
      </c>
      <c r="D62" s="55" t="s">
        <v>177</v>
      </c>
      <c r="E62" s="90">
        <f t="shared" si="2"/>
        <v>5860206.27422282</v>
      </c>
      <c r="F62" s="95">
        <f t="shared" si="3"/>
        <v>5977410.39970728</v>
      </c>
      <c r="G62" s="92">
        <f t="shared" si="1"/>
        <v>70556883.5416428</v>
      </c>
      <c r="H62" s="96">
        <f t="shared" si="4"/>
        <v>0.212317072725068</v>
      </c>
      <c r="I62" s="94">
        <f t="shared" si="0"/>
        <v>14980430.9741652</v>
      </c>
      <c r="L62" s="66"/>
    </row>
    <row r="63" ht="15.6" spans="1:12">
      <c r="A63" s="1"/>
      <c r="B63" s="87">
        <v>26</v>
      </c>
      <c r="C63" s="177" t="s">
        <v>178</v>
      </c>
      <c r="D63" s="55" t="s">
        <v>179</v>
      </c>
      <c r="E63" s="90">
        <f t="shared" si="2"/>
        <v>5977410.39970728</v>
      </c>
      <c r="F63" s="95">
        <f t="shared" si="3"/>
        <v>6096958.60770143</v>
      </c>
      <c r="G63" s="92">
        <f t="shared" si="1"/>
        <v>71968021.2124757</v>
      </c>
      <c r="H63" s="96">
        <f t="shared" si="4"/>
        <v>0.199041035647388</v>
      </c>
      <c r="I63" s="94">
        <f t="shared" si="0"/>
        <v>14324589.4756243</v>
      </c>
      <c r="L63" s="66"/>
    </row>
    <row r="64" ht="15.6" spans="1:12">
      <c r="A64" s="1"/>
      <c r="B64" s="87">
        <v>27</v>
      </c>
      <c r="C64" s="177" t="s">
        <v>180</v>
      </c>
      <c r="D64" s="55" t="s">
        <v>181</v>
      </c>
      <c r="E64" s="90">
        <f t="shared" si="2"/>
        <v>6096958.60770143</v>
      </c>
      <c r="F64" s="95">
        <f t="shared" si="3"/>
        <v>6218897.77985546</v>
      </c>
      <c r="G64" s="92">
        <f t="shared" si="1"/>
        <v>73407381.6367252</v>
      </c>
      <c r="H64" s="96">
        <f t="shared" si="4"/>
        <v>0.186595139821306</v>
      </c>
      <c r="I64" s="94">
        <f t="shared" si="0"/>
        <v>13697460.6404207</v>
      </c>
      <c r="L64" s="66"/>
    </row>
    <row r="65" ht="15.6" spans="1:12">
      <c r="A65" s="1"/>
      <c r="B65" s="87">
        <v>28</v>
      </c>
      <c r="C65" s="177" t="s">
        <v>182</v>
      </c>
      <c r="D65" s="55" t="s">
        <v>183</v>
      </c>
      <c r="E65" s="90">
        <f t="shared" si="2"/>
        <v>6218897.77985546</v>
      </c>
      <c r="F65" s="95">
        <f t="shared" si="3"/>
        <v>6343275.73545256</v>
      </c>
      <c r="G65" s="92">
        <f t="shared" si="1"/>
        <v>74875529.2694597</v>
      </c>
      <c r="H65" s="96">
        <f t="shared" si="4"/>
        <v>0.174927477098815</v>
      </c>
      <c r="I65" s="94">
        <f t="shared" si="0"/>
        <v>13097787.4315451</v>
      </c>
      <c r="L65" s="66"/>
    </row>
    <row r="66" ht="15.6" spans="1:12">
      <c r="A66" s="1"/>
      <c r="B66" s="87">
        <v>29</v>
      </c>
      <c r="C66" s="177" t="s">
        <v>184</v>
      </c>
      <c r="D66" s="55" t="s">
        <v>185</v>
      </c>
      <c r="E66" s="90">
        <f t="shared" si="2"/>
        <v>6343275.73545256</v>
      </c>
      <c r="F66" s="95">
        <f t="shared" si="3"/>
        <v>6470141.25016162</v>
      </c>
      <c r="G66" s="92">
        <f t="shared" si="1"/>
        <v>76373039.8548489</v>
      </c>
      <c r="H66" s="96">
        <f t="shared" si="4"/>
        <v>0.163989385111855</v>
      </c>
      <c r="I66" s="94">
        <f t="shared" si="0"/>
        <v>12524367.8449198</v>
      </c>
      <c r="L66" s="66"/>
    </row>
    <row r="67" ht="15.6" spans="1:12">
      <c r="A67" s="1"/>
      <c r="B67" s="118">
        <v>30</v>
      </c>
      <c r="C67" s="177" t="s">
        <v>186</v>
      </c>
      <c r="D67" s="55" t="s">
        <v>187</v>
      </c>
      <c r="E67" s="119">
        <f t="shared" si="2"/>
        <v>6470141.25016162</v>
      </c>
      <c r="F67" s="95">
        <f t="shared" si="3"/>
        <v>6599544.07516485</v>
      </c>
      <c r="G67" s="92">
        <f t="shared" si="1"/>
        <v>77900500.6519459</v>
      </c>
      <c r="H67" s="120">
        <f t="shared" si="4"/>
        <v>0.153735244315979</v>
      </c>
      <c r="I67" s="94">
        <f t="shared" si="0"/>
        <v>11976052.500064</v>
      </c>
      <c r="L67" s="66"/>
    </row>
    <row r="68" ht="16.35" spans="1:12">
      <c r="B68" s="87"/>
      <c r="C68" s="55"/>
      <c r="D68" s="55"/>
      <c r="E68" s="90"/>
      <c r="F68" s="95"/>
      <c r="G68" s="92"/>
      <c r="H68" s="96"/>
      <c r="I68" s="94"/>
    </row>
    <row r="69" ht="18.75" spans="1:12">
      <c r="B69" s="121"/>
      <c r="C69" s="122"/>
      <c r="D69" s="122"/>
      <c r="E69" s="123" t="s">
        <v>103</v>
      </c>
      <c r="F69" s="102"/>
      <c r="G69" s="124"/>
      <c r="H69" s="125"/>
      <c r="I69" s="105">
        <f>+SUM(I38:I67)</f>
        <v>740408308.396486</v>
      </c>
      <c r="J69" s="106" t="s">
        <v>188</v>
      </c>
      <c r="K69" s="106" t="s">
        <v>104</v>
      </c>
    </row>
    <row r="70" ht="13.5" customHeight="1" spans="1:12">
      <c r="B70" s="1"/>
      <c r="C70" s="1"/>
      <c r="D70" s="1"/>
      <c r="G70" s="1"/>
      <c r="H70" s="1"/>
      <c r="I70" s="30">
        <f>+I69/10000000</f>
        <v>74.0408308396486</v>
      </c>
      <c r="J70" s="1" t="s">
        <v>105</v>
      </c>
      <c r="K70" s="106" t="s">
        <v>104</v>
      </c>
    </row>
    <row r="71" spans="1:12">
      <c r="C71" s="126"/>
      <c r="D71" s="127" t="s">
        <v>189</v>
      </c>
      <c r="E71" s="127"/>
      <c r="F71" s="127"/>
      <c r="G71" s="127"/>
      <c r="H71" s="127"/>
      <c r="I71" s="128"/>
      <c r="J71" s="126"/>
    </row>
    <row r="72" ht="15.6" spans="1:12">
      <c r="C72" s="126">
        <v>1</v>
      </c>
      <c r="D72" s="129" t="s">
        <v>190</v>
      </c>
      <c r="E72" s="130"/>
      <c r="F72" s="130"/>
      <c r="G72" s="130"/>
      <c r="H72" s="130"/>
      <c r="I72" s="128">
        <f>2336</f>
        <v>2336</v>
      </c>
      <c r="J72" s="126" t="s">
        <v>11</v>
      </c>
      <c r="K72" s="106" t="s">
        <v>104</v>
      </c>
    </row>
    <row r="73" ht="15.6" spans="1:12">
      <c r="C73" s="126">
        <v>2</v>
      </c>
      <c r="D73" s="131" t="s">
        <v>191</v>
      </c>
      <c r="E73" s="131"/>
      <c r="F73" s="131"/>
      <c r="G73" s="131"/>
      <c r="H73" s="131"/>
      <c r="I73" s="131" t="s">
        <v>192</v>
      </c>
      <c r="J73" s="1"/>
    </row>
    <row r="74" ht="15.6" spans="1:12">
      <c r="C74" s="126">
        <v>3</v>
      </c>
      <c r="D74" s="132" t="s">
        <v>193</v>
      </c>
      <c r="E74" s="132"/>
      <c r="F74" s="132"/>
      <c r="G74" s="132"/>
      <c r="H74" s="132"/>
      <c r="I74" s="133" t="s">
        <v>194</v>
      </c>
      <c r="J74" s="1"/>
    </row>
    <row r="75" ht="15.75" customHeight="1" spans="1:12">
      <c r="C75" s="126">
        <v>4</v>
      </c>
      <c r="D75" s="134" t="s">
        <v>195</v>
      </c>
      <c r="E75" s="134"/>
      <c r="F75" s="134"/>
      <c r="G75" s="134"/>
      <c r="H75" s="134"/>
      <c r="I75" s="138">
        <v>30250</v>
      </c>
      <c r="J75" s="1"/>
    </row>
    <row r="76" ht="15.75" customHeight="1" spans="1:12">
      <c r="C76" s="126">
        <v>5</v>
      </c>
      <c r="D76" s="135" t="s">
        <v>196</v>
      </c>
      <c r="E76" s="135"/>
      <c r="F76" s="135"/>
      <c r="G76" s="135"/>
      <c r="H76" s="135"/>
      <c r="I76" s="165">
        <v>0.5</v>
      </c>
      <c r="J76" s="1"/>
    </row>
    <row r="77" ht="15.6" spans="1:12">
      <c r="C77" s="126">
        <v>6</v>
      </c>
      <c r="D77" s="129" t="s">
        <v>197</v>
      </c>
      <c r="F77" s="178" t="s">
        <v>198</v>
      </c>
      <c r="G77" s="130"/>
      <c r="H77" s="130"/>
      <c r="I77" s="128">
        <f>ROUND(I72*I75*I76,2)</f>
        <v>35332000</v>
      </c>
      <c r="J77" s="1" t="s">
        <v>199</v>
      </c>
    </row>
    <row r="78" ht="15.6" spans="1:12">
      <c r="C78" s="126"/>
      <c r="D78" s="129"/>
      <c r="E78" s="130"/>
      <c r="F78" s="130"/>
      <c r="G78" s="130"/>
      <c r="H78" s="130"/>
      <c r="I78" s="128"/>
      <c r="J78" s="126"/>
    </row>
    <row r="79" ht="15.6" spans="1:12">
      <c r="C79" s="1"/>
      <c r="D79" s="1"/>
      <c r="E79" s="1"/>
      <c r="F79" s="1"/>
      <c r="G79" s="1" t="s">
        <v>200</v>
      </c>
      <c r="H79" s="1"/>
      <c r="I79" s="139">
        <f>+I69+I77</f>
        <v>775740308.396486</v>
      </c>
      <c r="J79" s="1"/>
      <c r="K79" s="107"/>
    </row>
    <row r="80" ht="15.6" spans="1:12">
      <c r="C80" s="1"/>
      <c r="D80" s="1"/>
      <c r="E80" s="1"/>
      <c r="F80" s="1"/>
      <c r="G80" s="1"/>
      <c r="H80" s="1"/>
      <c r="I80" s="30">
        <f>+I79/10000000</f>
        <v>77.5740308396486</v>
      </c>
      <c r="J80" s="1" t="s">
        <v>105</v>
      </c>
      <c r="K80" s="107"/>
    </row>
    <row r="81" spans="3:11">
      <c r="K81" s="107"/>
    </row>
    <row r="82" spans="3:11">
      <c r="C82" s="107"/>
      <c r="D82" s="107" t="s">
        <v>106</v>
      </c>
      <c r="E82" s="107" t="s">
        <v>107</v>
      </c>
      <c r="F82" s="107"/>
      <c r="G82" s="107"/>
      <c r="H82" s="108"/>
      <c r="I82" s="107"/>
      <c r="J82" s="107"/>
      <c r="K82" s="107"/>
    </row>
    <row r="83" spans="3:11">
      <c r="C83" s="107"/>
      <c r="D83" s="107"/>
      <c r="E83" s="107" t="s">
        <v>108</v>
      </c>
      <c r="F83" s="107"/>
      <c r="G83" s="107"/>
      <c r="H83" s="108"/>
      <c r="I83" s="107"/>
      <c r="J83" s="107"/>
      <c r="K83" s="107"/>
    </row>
    <row r="84" spans="3:11">
      <c r="C84" s="107"/>
      <c r="D84" s="107"/>
      <c r="E84" s="166" t="s">
        <v>201</v>
      </c>
      <c r="F84" s="166"/>
      <c r="G84" s="166">
        <f>D12*2</f>
        <v>14759.78</v>
      </c>
      <c r="H84" s="167"/>
      <c r="I84" s="107"/>
      <c r="J84" s="107"/>
      <c r="K84" s="107"/>
    </row>
    <row r="85" spans="3:11">
      <c r="C85" s="107"/>
      <c r="D85" s="107"/>
      <c r="E85" s="107" t="s">
        <v>111</v>
      </c>
      <c r="F85" s="107"/>
      <c r="G85" s="107"/>
      <c r="H85" s="108"/>
      <c r="I85" s="107"/>
      <c r="J85" s="107"/>
      <c r="K85" s="107"/>
    </row>
    <row r="86" spans="3:11">
      <c r="C86" s="107"/>
      <c r="D86" s="107"/>
      <c r="E86" s="107" t="s">
        <v>112</v>
      </c>
      <c r="F86" s="107"/>
      <c r="G86" s="107"/>
      <c r="H86" s="108"/>
      <c r="I86" s="107"/>
      <c r="J86" s="107"/>
      <c r="K86" s="107"/>
    </row>
    <row r="87" spans="3:11">
      <c r="C87" s="107"/>
      <c r="D87" s="107"/>
      <c r="E87" s="107" t="s">
        <v>113</v>
      </c>
      <c r="F87" s="107"/>
      <c r="G87" s="107"/>
      <c r="H87" s="108"/>
      <c r="I87" s="107"/>
      <c r="J87" s="107"/>
      <c r="K87" s="107"/>
    </row>
    <row r="88" ht="15.6" spans="3:11">
      <c r="C88" s="107"/>
      <c r="D88" s="107"/>
      <c r="E88" s="109" t="s">
        <v>114</v>
      </c>
      <c r="F88" s="108"/>
      <c r="G88" s="110"/>
      <c r="H88" s="108"/>
      <c r="I88" s="107"/>
      <c r="J88" s="107"/>
      <c r="K88" s="107"/>
    </row>
    <row r="89" spans="3:11">
      <c r="C89" s="107"/>
      <c r="D89" s="107"/>
      <c r="E89" s="109" t="s">
        <v>115</v>
      </c>
      <c r="F89" s="107"/>
      <c r="G89" s="107"/>
      <c r="H89" s="107"/>
      <c r="I89" s="107"/>
      <c r="J89" s="107"/>
      <c r="K89" s="107"/>
    </row>
    <row r="90" spans="3:11">
      <c r="C90" s="107"/>
      <c r="D90" s="107"/>
      <c r="E90" s="108" t="s">
        <v>116</v>
      </c>
      <c r="F90" s="107"/>
      <c r="G90" s="107"/>
      <c r="H90" s="107"/>
      <c r="I90" s="107"/>
      <c r="J90" s="107"/>
      <c r="K90" s="107"/>
    </row>
    <row r="91" spans="3:11">
      <c r="C91" s="107"/>
      <c r="D91" s="107"/>
      <c r="E91" s="107"/>
      <c r="F91" s="107"/>
      <c r="G91" s="107"/>
      <c r="H91" s="107"/>
      <c r="I91" s="107"/>
      <c r="J91" s="107"/>
      <c r="K91" s="107"/>
    </row>
    <row r="92" spans="3:11">
      <c r="C92" s="107"/>
      <c r="D92" s="107"/>
      <c r="E92" s="107"/>
      <c r="F92" s="107"/>
      <c r="G92" s="107"/>
      <c r="H92" s="107"/>
      <c r="I92" s="107"/>
      <c r="J92" s="107"/>
      <c r="K92" s="107"/>
    </row>
    <row r="93" spans="3:11">
      <c r="C93" s="107"/>
      <c r="D93" s="107"/>
      <c r="E93" s="107"/>
      <c r="F93" s="107"/>
      <c r="G93" s="107"/>
      <c r="H93" s="107"/>
      <c r="I93" s="107"/>
      <c r="J93" s="107"/>
    </row>
  </sheetData>
  <mergeCells count="7">
    <mergeCell ref="B5:G5"/>
    <mergeCell ref="B6:G6"/>
    <mergeCell ref="D71:H71"/>
    <mergeCell ref="D73:H73"/>
    <mergeCell ref="D74:H74"/>
    <mergeCell ref="D75:H75"/>
    <mergeCell ref="D76:H76"/>
  </mergeCells>
  <printOptions horizontalCentered="1"/>
  <pageMargins left="0.7" right="0.2" top="0.75" bottom="0.75" header="0.3" footer="0.3"/>
  <pageSetup paperSize="5" scale="65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37"/>
  <sheetViews>
    <sheetView workbookViewId="0">
      <selection activeCell="G22" sqref="G22"/>
    </sheetView>
  </sheetViews>
  <sheetFormatPr defaultColWidth="9" defaultRowHeight="14.4"/>
  <cols>
    <col min="2" max="2" width="6.28703703703704" customWidth="1"/>
    <col min="3" max="3" width="8.71296296296296" customWidth="1"/>
    <col min="4" max="4" width="14.712962962963" customWidth="1"/>
    <col min="5" max="5" width="13" customWidth="1"/>
    <col min="6" max="6" width="30" customWidth="1"/>
    <col min="7" max="7" width="19.4259259259259" customWidth="1"/>
    <col min="8" max="8" width="18.5740740740741" customWidth="1"/>
    <col min="9" max="9" width="14.287037037037" customWidth="1"/>
    <col min="10" max="10" width="18.8518518518519" customWidth="1"/>
    <col min="11" max="11" width="4" customWidth="1"/>
    <col min="13" max="13" width="14.1388888888889" customWidth="1"/>
  </cols>
  <sheetData>
    <row r="1" spans="2:12">
      <c r="C1" s="1"/>
    </row>
    <row r="2" ht="15.6" spans="2:12">
      <c r="C2" s="1"/>
      <c r="D2" s="2"/>
    </row>
    <row r="3" ht="15.6" spans="2:12">
      <c r="C3" s="1" t="s">
        <v>0</v>
      </c>
      <c r="D3" s="2" t="s">
        <v>1</v>
      </c>
    </row>
    <row r="4" spans="2:12">
      <c r="B4" s="3"/>
      <c r="C4" s="1"/>
      <c r="D4" s="4" t="s">
        <v>2</v>
      </c>
      <c r="E4" s="1"/>
      <c r="G4" s="1"/>
      <c r="H4" s="1"/>
      <c r="I4" s="1"/>
    </row>
    <row r="5" ht="17.4" spans="2:12">
      <c r="B5" s="1"/>
      <c r="C5" s="140" t="s">
        <v>3</v>
      </c>
      <c r="D5" s="140"/>
      <c r="E5" s="140"/>
      <c r="F5" s="140"/>
      <c r="G5" s="140"/>
      <c r="H5" s="140"/>
      <c r="I5" s="6"/>
    </row>
    <row r="6" ht="17.4" spans="2:12">
      <c r="B6" s="1"/>
      <c r="C6" s="140" t="s">
        <v>202</v>
      </c>
      <c r="D6" s="140"/>
      <c r="E6" s="140"/>
      <c r="F6" s="140"/>
      <c r="G6" s="140"/>
      <c r="H6" s="140"/>
      <c r="I6" s="6"/>
    </row>
    <row r="7" ht="17.4" spans="2:12">
      <c r="B7" s="1"/>
      <c r="D7" s="5" t="s">
        <v>5</v>
      </c>
      <c r="E7" s="5"/>
      <c r="F7" s="141">
        <f>+G36</f>
        <v>6.67</v>
      </c>
      <c r="G7" s="5" t="s">
        <v>6</v>
      </c>
      <c r="H7" s="5"/>
      <c r="I7" s="6"/>
    </row>
    <row r="8" ht="21.75" customHeight="1" spans="2:12">
      <c r="B8" s="1"/>
      <c r="C8" s="7"/>
      <c r="D8" s="1"/>
      <c r="E8" s="1"/>
      <c r="F8" s="1"/>
      <c r="G8" s="8"/>
      <c r="H8" s="1"/>
      <c r="I8" s="1"/>
    </row>
    <row r="9" ht="15.6" spans="2:12">
      <c r="B9" s="1"/>
      <c r="C9" s="112" t="s">
        <v>7</v>
      </c>
      <c r="D9" s="112"/>
      <c r="E9" s="142">
        <v>7379.89</v>
      </c>
      <c r="F9" s="2" t="s">
        <v>8</v>
      </c>
      <c r="H9" s="143"/>
      <c r="I9" s="16"/>
      <c r="J9" s="17"/>
      <c r="L9" s="18"/>
    </row>
    <row r="10" ht="15.6" spans="2:12">
      <c r="B10" s="1"/>
      <c r="C10" s="114" t="s">
        <v>9</v>
      </c>
      <c r="D10" s="112"/>
      <c r="E10" s="144">
        <v>2</v>
      </c>
      <c r="G10" s="18"/>
      <c r="H10" s="145"/>
      <c r="I10" s="22"/>
    </row>
    <row r="11" ht="15.6" spans="2:12">
      <c r="B11" s="1"/>
      <c r="C11" s="2" t="s">
        <v>10</v>
      </c>
      <c r="D11" s="2"/>
      <c r="E11" s="142">
        <f>+E9*E10</f>
        <v>14759.78</v>
      </c>
      <c r="F11" s="2" t="s">
        <v>11</v>
      </c>
      <c r="G11" s="27"/>
      <c r="H11" s="146"/>
      <c r="I11" s="2"/>
    </row>
    <row r="12" ht="9.75" customHeight="1" spans="2:12">
      <c r="B12" s="1"/>
      <c r="C12" s="2"/>
      <c r="D12" s="2"/>
      <c r="E12" s="2"/>
      <c r="F12" s="2"/>
      <c r="G12" s="2"/>
      <c r="H12" s="66"/>
      <c r="I12" s="2"/>
    </row>
    <row r="13" ht="17.25" customHeight="1" spans="2:12">
      <c r="B13" s="7" t="s">
        <v>118</v>
      </c>
      <c r="C13" s="4" t="s">
        <v>119</v>
      </c>
      <c r="D13" s="2"/>
      <c r="E13" s="2"/>
      <c r="F13" s="2"/>
      <c r="G13" s="2"/>
      <c r="H13" s="66"/>
      <c r="I13" s="2"/>
    </row>
    <row r="14" ht="15" customHeight="1" spans="2:12">
      <c r="B14" s="7"/>
      <c r="C14" s="4" t="s">
        <v>120</v>
      </c>
      <c r="D14" s="2"/>
      <c r="E14" s="2"/>
      <c r="F14" s="2"/>
      <c r="G14" s="2"/>
      <c r="H14" s="66"/>
      <c r="I14" s="2"/>
    </row>
    <row r="15" ht="15" customHeight="1" spans="2:12">
      <c r="B15" s="7"/>
      <c r="C15" s="4"/>
      <c r="D15" s="2"/>
      <c r="E15" s="2"/>
      <c r="F15" s="2"/>
      <c r="G15" s="2"/>
      <c r="H15" s="66"/>
      <c r="I15" s="2"/>
    </row>
    <row r="16" ht="15.6" spans="2:12">
      <c r="B16" s="1"/>
      <c r="C16" s="2" t="s">
        <v>12</v>
      </c>
      <c r="D16" s="2"/>
      <c r="E16" s="2"/>
      <c r="F16" s="2"/>
      <c r="G16" s="170" t="s">
        <v>13</v>
      </c>
      <c r="I16" s="30"/>
    </row>
    <row r="17" ht="15.6" spans="2:9">
      <c r="B17" s="147">
        <v>1</v>
      </c>
      <c r="C17" s="10" t="s">
        <v>203</v>
      </c>
      <c r="D17" s="10"/>
      <c r="E17" s="10"/>
      <c r="F17" s="10"/>
      <c r="G17" s="148" t="s">
        <v>204</v>
      </c>
      <c r="I17" s="30"/>
    </row>
    <row r="18" ht="15.6" spans="2:9">
      <c r="B18" s="149">
        <v>2</v>
      </c>
      <c r="C18" s="150" t="s">
        <v>205</v>
      </c>
      <c r="D18" s="150"/>
      <c r="E18" s="150"/>
      <c r="F18" s="150"/>
      <c r="G18" s="151" t="s">
        <v>206</v>
      </c>
      <c r="I18" s="30"/>
    </row>
    <row r="19" ht="15.6" spans="2:9">
      <c r="B19" s="149">
        <v>3</v>
      </c>
      <c r="C19" s="150" t="s">
        <v>207</v>
      </c>
      <c r="D19" s="150"/>
      <c r="E19" s="150"/>
      <c r="F19" s="150"/>
      <c r="G19" s="151">
        <v>56</v>
      </c>
      <c r="I19" s="30"/>
    </row>
    <row r="20" ht="15.6" spans="2:9">
      <c r="B20" s="149">
        <v>4</v>
      </c>
      <c r="C20" s="150" t="s">
        <v>208</v>
      </c>
      <c r="D20" s="150"/>
      <c r="E20" s="150"/>
      <c r="F20" s="150"/>
      <c r="G20" s="152">
        <v>0.45</v>
      </c>
      <c r="I20" s="30"/>
    </row>
    <row r="21" ht="15.75" customHeight="1" spans="2:9">
      <c r="B21" s="153">
        <v>5</v>
      </c>
      <c r="C21" s="2" t="s">
        <v>209</v>
      </c>
      <c r="D21" s="2"/>
      <c r="E21" s="2"/>
      <c r="F21" s="2"/>
      <c r="G21" s="154">
        <v>30250</v>
      </c>
      <c r="I21" s="30"/>
    </row>
    <row r="22" ht="15.6" spans="2:9">
      <c r="B22" s="153"/>
      <c r="C22" s="2" t="s">
        <v>210</v>
      </c>
      <c r="D22" s="2"/>
      <c r="E22" s="2"/>
      <c r="F22" s="2"/>
      <c r="G22" s="154">
        <f>ROUND(G21*80%*G20*6%/12,2)</f>
        <v>54.45</v>
      </c>
      <c r="I22" s="30"/>
    </row>
    <row r="23" ht="15.6" spans="2:9">
      <c r="B23" s="153"/>
      <c r="C23" s="2" t="s">
        <v>211</v>
      </c>
      <c r="D23" s="2"/>
      <c r="E23" s="2"/>
      <c r="F23" s="2"/>
      <c r="G23" s="154"/>
      <c r="I23" s="30"/>
    </row>
    <row r="24" ht="15.6" spans="2:9">
      <c r="B24" s="155"/>
      <c r="C24" s="24" t="s">
        <v>212</v>
      </c>
      <c r="D24" s="24"/>
      <c r="E24" s="24"/>
      <c r="F24" s="24"/>
      <c r="G24" s="156"/>
      <c r="I24" s="30"/>
    </row>
    <row r="25" ht="15.6" spans="2:9">
      <c r="B25" s="153"/>
      <c r="C25" s="2"/>
      <c r="D25" s="2"/>
      <c r="E25" s="2"/>
      <c r="F25" s="2"/>
      <c r="G25" s="157"/>
      <c r="I25" s="30"/>
    </row>
    <row r="26" ht="15.6" spans="2:9">
      <c r="B26" s="153">
        <v>6</v>
      </c>
      <c r="C26" s="2" t="s">
        <v>14</v>
      </c>
      <c r="D26" s="2"/>
      <c r="E26" s="2"/>
      <c r="F26" s="2"/>
      <c r="G26" s="158">
        <v>465.22</v>
      </c>
      <c r="I26" s="30"/>
    </row>
    <row r="27" ht="15.6" spans="2:9">
      <c r="B27" s="75"/>
      <c r="C27" s="179" t="s">
        <v>15</v>
      </c>
      <c r="D27" s="33"/>
      <c r="E27" s="33"/>
      <c r="F27" s="33"/>
      <c r="G27" s="47"/>
      <c r="I27" s="30"/>
    </row>
    <row r="28" ht="15.6" spans="2:9">
      <c r="B28" s="160"/>
      <c r="C28" s="35"/>
      <c r="D28" s="36"/>
      <c r="E28" s="36"/>
      <c r="F28" s="36"/>
      <c r="G28" s="44"/>
      <c r="I28" s="30"/>
    </row>
    <row r="29" ht="15.75" customHeight="1" spans="2:9">
      <c r="B29" s="160">
        <v>7</v>
      </c>
      <c r="C29" s="171" t="s">
        <v>213</v>
      </c>
      <c r="D29" s="36"/>
      <c r="E29" s="36"/>
      <c r="F29" s="36"/>
      <c r="G29" s="44"/>
      <c r="I29" s="30"/>
    </row>
    <row r="30" ht="15.6" spans="2:9">
      <c r="B30" s="160"/>
      <c r="C30" s="171" t="s">
        <v>214</v>
      </c>
      <c r="D30" s="36"/>
      <c r="E30" s="36"/>
      <c r="F30" s="36"/>
      <c r="G30" s="44"/>
      <c r="I30" s="30"/>
    </row>
    <row r="31" ht="15.6" spans="2:9">
      <c r="B31" s="160"/>
      <c r="C31" s="171" t="s">
        <v>215</v>
      </c>
      <c r="D31" s="36"/>
      <c r="E31" s="36"/>
      <c r="F31" s="36"/>
      <c r="G31" s="44"/>
      <c r="I31" s="30"/>
    </row>
    <row r="32" ht="15.6" spans="2:9">
      <c r="B32" s="160"/>
      <c r="C32" s="171" t="s">
        <v>216</v>
      </c>
      <c r="D32" s="36"/>
      <c r="E32" s="36"/>
      <c r="F32" s="36"/>
      <c r="G32" s="44">
        <f>G22+G26</f>
        <v>519.67</v>
      </c>
      <c r="I32" s="30"/>
    </row>
    <row r="33" ht="15.6" spans="2:9">
      <c r="B33" s="75"/>
      <c r="C33" s="179" t="s">
        <v>217</v>
      </c>
      <c r="D33" s="33"/>
      <c r="E33" s="33"/>
      <c r="F33" s="33"/>
      <c r="G33" s="47"/>
      <c r="I33" s="30"/>
    </row>
    <row r="34" ht="15.6" spans="2:9">
      <c r="B34" s="75">
        <v>8</v>
      </c>
      <c r="C34" s="179" t="s">
        <v>218</v>
      </c>
      <c r="D34" s="33"/>
      <c r="E34" s="33"/>
      <c r="F34" s="77"/>
      <c r="G34" s="34">
        <f>ROUND(+G32*0.5,2)</f>
        <v>259.84</v>
      </c>
      <c r="I34" s="30"/>
    </row>
    <row r="35" ht="14.25" customHeight="1" spans="2:9">
      <c r="B35" s="1"/>
      <c r="C35" s="2"/>
      <c r="D35" s="2"/>
      <c r="E35" s="2"/>
      <c r="F35" s="2"/>
      <c r="G35" s="48"/>
      <c r="H35" s="49"/>
      <c r="I35" s="2"/>
    </row>
    <row r="36" ht="15.6" spans="2:9">
      <c r="B36" s="1"/>
      <c r="C36" s="2" t="s">
        <v>16</v>
      </c>
      <c r="D36" s="2"/>
      <c r="E36" s="2"/>
      <c r="F36" s="2"/>
      <c r="G36" s="161">
        <v>6.67</v>
      </c>
      <c r="H36" s="54" t="s">
        <v>6</v>
      </c>
      <c r="I36" s="2"/>
    </row>
    <row r="37" ht="15.6" spans="2:9">
      <c r="B37" s="1"/>
      <c r="D37" s="2"/>
      <c r="E37" s="58" t="s">
        <v>17</v>
      </c>
      <c r="F37" s="58" t="s">
        <v>18</v>
      </c>
      <c r="G37" s="58" t="s">
        <v>19</v>
      </c>
    </row>
    <row r="38" ht="15.6" spans="2:9">
      <c r="B38" s="1"/>
      <c r="C38" s="2" t="s">
        <v>20</v>
      </c>
      <c r="D38" s="2"/>
      <c r="E38" s="62">
        <f>+E11</f>
        <v>14759.78</v>
      </c>
      <c r="F38" s="62">
        <f>+G34</f>
        <v>259.84</v>
      </c>
      <c r="G38" s="62">
        <f>+E38*F38</f>
        <v>3835181.2352</v>
      </c>
    </row>
    <row r="39" ht="14.25" customHeight="1" spans="2:9">
      <c r="B39" s="1"/>
      <c r="C39" s="2"/>
      <c r="D39" s="2"/>
      <c r="E39" s="2"/>
      <c r="F39" s="2"/>
      <c r="G39" s="30"/>
      <c r="H39" s="30"/>
      <c r="I39" s="30"/>
    </row>
    <row r="40" ht="15.6" spans="2:9">
      <c r="B40" s="1"/>
      <c r="C40" t="s">
        <v>21</v>
      </c>
      <c r="G40" s="30">
        <f>+G38</f>
        <v>3835181.2352</v>
      </c>
      <c r="H40" s="30"/>
      <c r="I40" s="30"/>
    </row>
    <row r="41" ht="15.6" spans="2:9">
      <c r="B41" s="1"/>
      <c r="G41" s="30"/>
      <c r="H41" s="30"/>
      <c r="I41" s="30"/>
    </row>
    <row r="42" ht="15.6" spans="2:9">
      <c r="B42" s="1"/>
      <c r="C42" t="s">
        <v>22</v>
      </c>
      <c r="G42" s="30">
        <f>+G40*1.02</f>
        <v>3911884.859904</v>
      </c>
      <c r="H42" s="172" t="s">
        <v>23</v>
      </c>
      <c r="I42" s="30"/>
    </row>
    <row r="43" ht="15.6" spans="2:9">
      <c r="B43" s="1"/>
      <c r="C43" t="s">
        <v>24</v>
      </c>
      <c r="G43" s="30">
        <f>+G42*1.02</f>
        <v>3990122.55710208</v>
      </c>
      <c r="H43" s="172" t="s">
        <v>23</v>
      </c>
      <c r="I43" s="30"/>
    </row>
    <row r="44" ht="15.6" spans="2:9">
      <c r="B44" s="1"/>
      <c r="C44" t="s">
        <v>123</v>
      </c>
      <c r="G44" s="30">
        <f t="shared" ref="G44:G45" si="0">+G43*1.02</f>
        <v>4069925.00824412</v>
      </c>
      <c r="H44" s="172" t="s">
        <v>23</v>
      </c>
      <c r="I44" s="30"/>
    </row>
    <row r="45" ht="15.6" spans="2:9">
      <c r="B45" s="1"/>
      <c r="C45" t="s">
        <v>124</v>
      </c>
      <c r="G45" s="30">
        <f t="shared" si="0"/>
        <v>4151323.508409</v>
      </c>
      <c r="H45" s="172" t="s">
        <v>23</v>
      </c>
      <c r="I45" s="30"/>
    </row>
    <row r="46" ht="15.6" spans="2:9">
      <c r="B46" s="1"/>
      <c r="G46" s="30"/>
      <c r="H46" s="30"/>
      <c r="I46" s="30"/>
    </row>
    <row r="47" ht="18" spans="2:9">
      <c r="B47" s="1"/>
      <c r="C47" s="64" t="s">
        <v>25</v>
      </c>
      <c r="D47" s="65"/>
      <c r="E47" s="65" t="s">
        <v>26</v>
      </c>
      <c r="F47" s="65"/>
      <c r="G47" s="30">
        <f>+G44*10+G45*2</f>
        <v>49001897.0992592</v>
      </c>
      <c r="H47" s="66"/>
    </row>
    <row r="48" ht="13.5" customHeight="1" spans="2:9">
      <c r="B48" s="1"/>
      <c r="C48" s="2"/>
      <c r="D48" s="2"/>
      <c r="E48" s="2"/>
      <c r="F48" s="2"/>
      <c r="G48" s="2"/>
      <c r="H48" s="2"/>
      <c r="I48" s="2"/>
    </row>
    <row r="49" ht="42.75" customHeight="1" spans="2:13">
      <c r="B49" s="1"/>
      <c r="C49" s="67" t="s">
        <v>27</v>
      </c>
      <c r="D49" s="67" t="s">
        <v>28</v>
      </c>
      <c r="E49" s="67"/>
      <c r="F49" s="71" t="s">
        <v>29</v>
      </c>
      <c r="G49" s="71" t="s">
        <v>30</v>
      </c>
      <c r="H49" s="72" t="s">
        <v>31</v>
      </c>
      <c r="I49" s="73" t="s">
        <v>32</v>
      </c>
      <c r="J49" s="74" t="s">
        <v>33</v>
      </c>
    </row>
    <row r="50" ht="15.6" spans="2:13">
      <c r="B50" s="1"/>
      <c r="C50" s="75"/>
      <c r="D50" s="75"/>
      <c r="E50" s="75"/>
      <c r="F50" s="78" t="s">
        <v>125</v>
      </c>
      <c r="G50" s="78" t="s">
        <v>219</v>
      </c>
      <c r="H50" s="79"/>
      <c r="I50" s="80">
        <f>G36</f>
        <v>6.67</v>
      </c>
      <c r="J50" s="81"/>
    </row>
    <row r="51" ht="15.6" spans="2:13">
      <c r="B51" s="1"/>
      <c r="C51" s="173" t="s">
        <v>36</v>
      </c>
      <c r="D51" s="117"/>
      <c r="E51" s="174" t="s">
        <v>37</v>
      </c>
      <c r="F51" s="175" t="s">
        <v>38</v>
      </c>
      <c r="G51" s="175" t="s">
        <v>39</v>
      </c>
      <c r="H51" s="175" t="s">
        <v>127</v>
      </c>
      <c r="I51" s="176" t="s">
        <v>41</v>
      </c>
      <c r="J51" s="176" t="s">
        <v>42</v>
      </c>
      <c r="M51" s="66"/>
    </row>
    <row r="52" ht="15.6" spans="2:13">
      <c r="B52" s="1"/>
      <c r="C52" s="87">
        <v>1</v>
      </c>
      <c r="D52" s="177" t="s">
        <v>128</v>
      </c>
      <c r="E52" s="55" t="s">
        <v>129</v>
      </c>
      <c r="F52" s="90">
        <f>+G44</f>
        <v>4069925.00824412</v>
      </c>
      <c r="G52" s="91">
        <f>+G45</f>
        <v>4151323.508409</v>
      </c>
      <c r="H52" s="92">
        <f>(F52*10)+(G52*2)</f>
        <v>49001897.0992592</v>
      </c>
      <c r="I52" s="93">
        <v>1</v>
      </c>
      <c r="J52" s="94">
        <f t="shared" ref="J52:J81" si="1">+H52*I52</f>
        <v>49001897.0992592</v>
      </c>
      <c r="M52" s="66"/>
    </row>
    <row r="53" ht="15.6" spans="2:13">
      <c r="B53" s="1"/>
      <c r="C53" s="87">
        <v>2</v>
      </c>
      <c r="D53" s="177" t="s">
        <v>130</v>
      </c>
      <c r="E53" s="55" t="s">
        <v>131</v>
      </c>
      <c r="F53" s="90">
        <f>+G52</f>
        <v>4151323.508409</v>
      </c>
      <c r="G53" s="95">
        <f>F53*1.02</f>
        <v>4234349.97857718</v>
      </c>
      <c r="H53" s="92">
        <f t="shared" ref="H53:H111" si="2">(F53*10)+(G53*2)</f>
        <v>49981935.0412444</v>
      </c>
      <c r="I53" s="96">
        <f>1/(1+(0.01*$G$36))^(C53-1)</f>
        <v>0.937470704040499</v>
      </c>
      <c r="J53" s="94">
        <f t="shared" si="1"/>
        <v>46856599.8324219</v>
      </c>
      <c r="M53" s="66"/>
    </row>
    <row r="54" ht="15.6" spans="2:13">
      <c r="B54" s="1"/>
      <c r="C54" s="87">
        <v>3</v>
      </c>
      <c r="D54" s="177" t="s">
        <v>132</v>
      </c>
      <c r="E54" s="55" t="s">
        <v>133</v>
      </c>
      <c r="F54" s="90">
        <f t="shared" ref="F54:F81" si="3">+G53</f>
        <v>4234349.97857718</v>
      </c>
      <c r="G54" s="95">
        <f t="shared" ref="G54:G81" si="4">F54*1.02</f>
        <v>4319036.97814873</v>
      </c>
      <c r="H54" s="92">
        <f t="shared" si="2"/>
        <v>50981573.7420693</v>
      </c>
      <c r="I54" s="96">
        <f t="shared" ref="I54:I81" si="5">1/(1+(0.01*$G$36))^(C54-1)</f>
        <v>0.878851320934188</v>
      </c>
      <c r="J54" s="94">
        <f t="shared" si="1"/>
        <v>44805223.4265213</v>
      </c>
      <c r="M54" s="66"/>
    </row>
    <row r="55" ht="15.6" spans="2:13">
      <c r="B55" s="1"/>
      <c r="C55" s="87">
        <v>4</v>
      </c>
      <c r="D55" s="177" t="s">
        <v>134</v>
      </c>
      <c r="E55" s="55" t="s">
        <v>135</v>
      </c>
      <c r="F55" s="90">
        <f t="shared" si="3"/>
        <v>4319036.97814873</v>
      </c>
      <c r="G55" s="95">
        <f t="shared" si="4"/>
        <v>4405417.7177117</v>
      </c>
      <c r="H55" s="92">
        <f t="shared" si="2"/>
        <v>52001205.2169107</v>
      </c>
      <c r="I55" s="96">
        <f t="shared" si="5"/>
        <v>0.823897366583096</v>
      </c>
      <c r="J55" s="94">
        <f t="shared" si="1"/>
        <v>42843656.0373599</v>
      </c>
      <c r="M55" s="66"/>
    </row>
    <row r="56" ht="15.6" spans="2:13">
      <c r="B56" s="1"/>
      <c r="C56" s="87">
        <v>5</v>
      </c>
      <c r="D56" s="177" t="s">
        <v>136</v>
      </c>
      <c r="E56" s="55" t="s">
        <v>137</v>
      </c>
      <c r="F56" s="90">
        <f t="shared" si="3"/>
        <v>4405417.7177117</v>
      </c>
      <c r="G56" s="95">
        <f t="shared" si="4"/>
        <v>4493526.07206594</v>
      </c>
      <c r="H56" s="92">
        <f t="shared" si="2"/>
        <v>53041229.3212489</v>
      </c>
      <c r="I56" s="96">
        <f t="shared" si="5"/>
        <v>0.772379644307768</v>
      </c>
      <c r="J56" s="94">
        <f t="shared" si="1"/>
        <v>40967965.836793</v>
      </c>
      <c r="M56" s="66"/>
    </row>
    <row r="57" ht="15.6" spans="2:13">
      <c r="B57" s="1"/>
      <c r="C57" s="87">
        <v>6</v>
      </c>
      <c r="D57" s="177" t="s">
        <v>138</v>
      </c>
      <c r="E57" s="55" t="s">
        <v>139</v>
      </c>
      <c r="F57" s="90">
        <f t="shared" si="3"/>
        <v>4493526.07206594</v>
      </c>
      <c r="G57" s="95">
        <f t="shared" si="4"/>
        <v>4583396.59350726</v>
      </c>
      <c r="H57" s="92">
        <f t="shared" si="2"/>
        <v>54102053.9076739</v>
      </c>
      <c r="I57" s="96">
        <f t="shared" si="5"/>
        <v>0.724083288935753</v>
      </c>
      <c r="J57" s="94">
        <f t="shared" si="1"/>
        <v>39174393.1316479</v>
      </c>
      <c r="M57" s="66"/>
    </row>
    <row r="58" ht="15.6" spans="2:13">
      <c r="B58" s="1"/>
      <c r="C58" s="87">
        <v>7</v>
      </c>
      <c r="D58" s="177" t="s">
        <v>140</v>
      </c>
      <c r="E58" s="55" t="s">
        <v>141</v>
      </c>
      <c r="F58" s="90">
        <f t="shared" si="3"/>
        <v>4583396.59350726</v>
      </c>
      <c r="G58" s="95">
        <f t="shared" si="4"/>
        <v>4675064.5253774</v>
      </c>
      <c r="H58" s="92">
        <f t="shared" si="2"/>
        <v>55184094.9858274</v>
      </c>
      <c r="I58" s="96">
        <f t="shared" si="5"/>
        <v>0.67880687066256</v>
      </c>
      <c r="J58" s="94">
        <f t="shared" si="1"/>
        <v>37459342.827675</v>
      </c>
      <c r="M58" s="66"/>
    </row>
    <row r="59" ht="15.6" spans="2:13">
      <c r="B59" s="8"/>
      <c r="C59" s="87">
        <v>8</v>
      </c>
      <c r="D59" s="177" t="s">
        <v>142</v>
      </c>
      <c r="E59" s="55" t="s">
        <v>143</v>
      </c>
      <c r="F59" s="90">
        <f t="shared" si="3"/>
        <v>4675064.5253774</v>
      </c>
      <c r="G59" s="95">
        <f t="shared" si="4"/>
        <v>4768565.81588495</v>
      </c>
      <c r="H59" s="92">
        <f t="shared" si="2"/>
        <v>56287776.8855439</v>
      </c>
      <c r="I59" s="96">
        <f t="shared" si="5"/>
        <v>0.636361554947558</v>
      </c>
      <c r="J59" s="94">
        <f t="shared" si="1"/>
        <v>35819377.2234259</v>
      </c>
      <c r="M59" s="66"/>
    </row>
    <row r="60" ht="15.6" spans="2:13">
      <c r="B60" s="1"/>
      <c r="C60" s="87">
        <v>9</v>
      </c>
      <c r="D60" s="177" t="s">
        <v>144</v>
      </c>
      <c r="E60" s="55" t="s">
        <v>145</v>
      </c>
      <c r="F60" s="90">
        <f t="shared" si="3"/>
        <v>4768565.81588495</v>
      </c>
      <c r="G60" s="95">
        <f t="shared" si="4"/>
        <v>4863937.13220265</v>
      </c>
      <c r="H60" s="92">
        <f t="shared" si="2"/>
        <v>57413532.4232548</v>
      </c>
      <c r="I60" s="96">
        <f t="shared" si="5"/>
        <v>0.596570314940994</v>
      </c>
      <c r="J60" s="94">
        <f t="shared" si="1"/>
        <v>34251209.1196161</v>
      </c>
      <c r="M60" s="66"/>
    </row>
    <row r="61" ht="15.6" spans="2:13">
      <c r="B61" s="1"/>
      <c r="C61" s="87">
        <v>10</v>
      </c>
      <c r="D61" s="177" t="s">
        <v>146</v>
      </c>
      <c r="E61" s="55" t="s">
        <v>147</v>
      </c>
      <c r="F61" s="90">
        <f t="shared" si="3"/>
        <v>4863937.13220265</v>
      </c>
      <c r="G61" s="95">
        <f t="shared" si="4"/>
        <v>4961215.8748467</v>
      </c>
      <c r="H61" s="92">
        <f t="shared" si="2"/>
        <v>58561803.0717199</v>
      </c>
      <c r="I61" s="96">
        <f t="shared" si="5"/>
        <v>0.559267193157396</v>
      </c>
      <c r="J61" s="94">
        <f t="shared" si="1"/>
        <v>32751695.2301569</v>
      </c>
      <c r="M61" s="66"/>
    </row>
    <row r="62" ht="15.6" spans="2:13">
      <c r="B62" s="1"/>
      <c r="C62" s="87">
        <v>11</v>
      </c>
      <c r="D62" s="177" t="s">
        <v>148</v>
      </c>
      <c r="E62" s="55" t="s">
        <v>149</v>
      </c>
      <c r="F62" s="90">
        <f t="shared" si="3"/>
        <v>4961215.8748467</v>
      </c>
      <c r="G62" s="95">
        <f t="shared" si="4"/>
        <v>5060440.19234363</v>
      </c>
      <c r="H62" s="92">
        <f t="shared" si="2"/>
        <v>59733039.1331543</v>
      </c>
      <c r="I62" s="96">
        <f t="shared" si="5"/>
        <v>0.524296609316017</v>
      </c>
      <c r="J62" s="94">
        <f t="shared" si="1"/>
        <v>31317829.8816538</v>
      </c>
      <c r="M62" s="66"/>
    </row>
    <row r="63" ht="15.6" spans="2:13">
      <c r="B63" s="1"/>
      <c r="C63" s="87">
        <v>12</v>
      </c>
      <c r="D63" s="177" t="s">
        <v>150</v>
      </c>
      <c r="E63" s="55" t="s">
        <v>151</v>
      </c>
      <c r="F63" s="90">
        <f t="shared" si="3"/>
        <v>5060440.19234363</v>
      </c>
      <c r="G63" s="95">
        <f t="shared" si="4"/>
        <v>5161648.99619051</v>
      </c>
      <c r="H63" s="92">
        <f t="shared" si="2"/>
        <v>60927699.9158174</v>
      </c>
      <c r="I63" s="96">
        <f t="shared" si="5"/>
        <v>0.491512711461533</v>
      </c>
      <c r="J63" s="94">
        <f t="shared" si="1"/>
        <v>29946738.988738</v>
      </c>
      <c r="M63" s="66"/>
    </row>
    <row r="64" ht="15.6" spans="2:13">
      <c r="B64" s="1"/>
      <c r="C64" s="87">
        <v>13</v>
      </c>
      <c r="D64" s="177" t="s">
        <v>152</v>
      </c>
      <c r="E64" s="55" t="s">
        <v>153</v>
      </c>
      <c r="F64" s="90">
        <f t="shared" si="3"/>
        <v>5161648.99619051</v>
      </c>
      <c r="G64" s="95">
        <f t="shared" si="4"/>
        <v>5264881.97611432</v>
      </c>
      <c r="H64" s="92">
        <f t="shared" si="2"/>
        <v>62146253.9141337</v>
      </c>
      <c r="I64" s="96">
        <f t="shared" si="5"/>
        <v>0.460778767658698</v>
      </c>
      <c r="J64" s="94">
        <f t="shared" si="1"/>
        <v>28635674.2931591</v>
      </c>
      <c r="M64" s="66"/>
    </row>
    <row r="65" ht="15.6" spans="2:13">
      <c r="B65" s="1"/>
      <c r="C65" s="87">
        <v>14</v>
      </c>
      <c r="D65" s="177" t="s">
        <v>154</v>
      </c>
      <c r="E65" s="55" t="s">
        <v>155</v>
      </c>
      <c r="F65" s="90">
        <f t="shared" si="3"/>
        <v>5264881.97611432</v>
      </c>
      <c r="G65" s="95">
        <f t="shared" si="4"/>
        <v>5370179.6156366</v>
      </c>
      <c r="H65" s="92">
        <f t="shared" si="2"/>
        <v>63389178.9924164</v>
      </c>
      <c r="I65" s="96">
        <f t="shared" si="5"/>
        <v>0.431966595723913</v>
      </c>
      <c r="J65" s="94">
        <f t="shared" si="1"/>
        <v>27382007.8550879</v>
      </c>
      <c r="M65" s="66"/>
    </row>
    <row r="66" ht="15.6" spans="2:13">
      <c r="B66" s="1"/>
      <c r="C66" s="87">
        <v>15</v>
      </c>
      <c r="D66" s="177" t="s">
        <v>156</v>
      </c>
      <c r="E66" s="55" t="s">
        <v>157</v>
      </c>
      <c r="F66" s="90">
        <f t="shared" si="3"/>
        <v>5370179.6156366</v>
      </c>
      <c r="G66" s="95">
        <f t="shared" si="4"/>
        <v>5477583.20794933</v>
      </c>
      <c r="H66" s="92">
        <f t="shared" si="2"/>
        <v>64656962.5722647</v>
      </c>
      <c r="I66" s="96">
        <f t="shared" si="5"/>
        <v>0.404956028615274</v>
      </c>
      <c r="J66" s="94">
        <f t="shared" si="1"/>
        <v>26183226.7855907</v>
      </c>
      <c r="M66" s="66"/>
    </row>
    <row r="67" ht="15.6" spans="2:13">
      <c r="B67" s="1"/>
      <c r="C67" s="87">
        <v>16</v>
      </c>
      <c r="D67" s="177" t="s">
        <v>158</v>
      </c>
      <c r="E67" s="55" t="s">
        <v>159</v>
      </c>
      <c r="F67" s="90">
        <f t="shared" si="3"/>
        <v>5477583.20794933</v>
      </c>
      <c r="G67" s="95">
        <f t="shared" si="4"/>
        <v>5587134.87210832</v>
      </c>
      <c r="H67" s="92">
        <f t="shared" si="2"/>
        <v>65950101.82371</v>
      </c>
      <c r="I67" s="96">
        <f t="shared" si="5"/>
        <v>0.379634413251405</v>
      </c>
      <c r="J67" s="94">
        <f t="shared" si="1"/>
        <v>25036928.2097146</v>
      </c>
      <c r="M67" s="66"/>
    </row>
    <row r="68" ht="15.6" spans="2:13">
      <c r="B68" s="1"/>
      <c r="C68" s="87">
        <v>17</v>
      </c>
      <c r="D68" s="177" t="s">
        <v>160</v>
      </c>
      <c r="E68" s="55" t="s">
        <v>161</v>
      </c>
      <c r="F68" s="90">
        <f t="shared" si="3"/>
        <v>5587134.87210832</v>
      </c>
      <c r="G68" s="95">
        <f t="shared" si="4"/>
        <v>5698877.56955049</v>
      </c>
      <c r="H68" s="92">
        <f t="shared" si="2"/>
        <v>67269103.8601842</v>
      </c>
      <c r="I68" s="96">
        <f t="shared" si="5"/>
        <v>0.355896140668797</v>
      </c>
      <c r="J68" s="94">
        <f t="shared" si="1"/>
        <v>23940814.450088</v>
      </c>
      <c r="M68" s="66"/>
    </row>
    <row r="69" ht="15.6" spans="2:13">
      <c r="B69" s="1"/>
      <c r="C69" s="87">
        <v>18</v>
      </c>
      <c r="D69" s="177" t="s">
        <v>162</v>
      </c>
      <c r="E69" s="55" t="s">
        <v>163</v>
      </c>
      <c r="F69" s="90">
        <f t="shared" si="3"/>
        <v>5698877.56955049</v>
      </c>
      <c r="G69" s="95">
        <f t="shared" si="4"/>
        <v>5812855.1209415</v>
      </c>
      <c r="H69" s="92">
        <f t="shared" si="2"/>
        <v>68614485.9373879</v>
      </c>
      <c r="I69" s="96">
        <f t="shared" si="5"/>
        <v>0.333642205558073</v>
      </c>
      <c r="J69" s="94">
        <f t="shared" si="1"/>
        <v>22892688.4213835</v>
      </c>
      <c r="M69" s="66"/>
    </row>
    <row r="70" ht="15.6" spans="2:13">
      <c r="B70" s="1"/>
      <c r="C70" s="87">
        <v>19</v>
      </c>
      <c r="D70" s="177" t="s">
        <v>164</v>
      </c>
      <c r="E70" s="55" t="s">
        <v>165</v>
      </c>
      <c r="F70" s="90">
        <f t="shared" si="3"/>
        <v>5812855.1209415</v>
      </c>
      <c r="G70" s="95">
        <f t="shared" si="4"/>
        <v>5929112.22336033</v>
      </c>
      <c r="H70" s="92">
        <f t="shared" si="2"/>
        <v>69986775.6561356</v>
      </c>
      <c r="I70" s="96">
        <f t="shared" si="5"/>
        <v>0.312779793342152</v>
      </c>
      <c r="J70" s="94">
        <f t="shared" si="1"/>
        <v>21890449.2264096</v>
      </c>
      <c r="M70" s="66"/>
    </row>
    <row r="71" ht="15.6" spans="2:13">
      <c r="B71" s="1"/>
      <c r="C71" s="87">
        <v>20</v>
      </c>
      <c r="D71" s="177" t="s">
        <v>166</v>
      </c>
      <c r="E71" s="55" t="s">
        <v>167</v>
      </c>
      <c r="F71" s="90">
        <f t="shared" si="3"/>
        <v>5929112.22336033</v>
      </c>
      <c r="G71" s="95">
        <f t="shared" si="4"/>
        <v>6047694.46782753</v>
      </c>
      <c r="H71" s="92">
        <f t="shared" si="2"/>
        <v>71386511.1692584</v>
      </c>
      <c r="I71" s="96">
        <f t="shared" si="5"/>
        <v>0.293221893074109</v>
      </c>
      <c r="J71" s="94">
        <f t="shared" si="1"/>
        <v>20932087.9450059</v>
      </c>
      <c r="M71" s="66"/>
    </row>
    <row r="72" ht="15.6" spans="2:13">
      <c r="B72" s="1"/>
      <c r="C72" s="87">
        <v>21</v>
      </c>
      <c r="D72" s="177" t="s">
        <v>168</v>
      </c>
      <c r="E72" s="55" t="s">
        <v>169</v>
      </c>
      <c r="F72" s="90">
        <f t="shared" si="3"/>
        <v>6047694.46782753</v>
      </c>
      <c r="G72" s="95">
        <f t="shared" si="4"/>
        <v>6168648.35718409</v>
      </c>
      <c r="H72" s="92">
        <f t="shared" si="2"/>
        <v>72814241.3926435</v>
      </c>
      <c r="I72" s="96">
        <f t="shared" si="5"/>
        <v>0.274886934540273</v>
      </c>
      <c r="J72" s="94">
        <f t="shared" si="1"/>
        <v>20015683.6072992</v>
      </c>
      <c r="M72" s="66"/>
    </row>
    <row r="73" ht="15.6" spans="2:13">
      <c r="B73" s="1"/>
      <c r="C73" s="87">
        <v>22</v>
      </c>
      <c r="D73" s="177" t="s">
        <v>170</v>
      </c>
      <c r="E73" s="55" t="s">
        <v>171</v>
      </c>
      <c r="F73" s="90">
        <f t="shared" si="3"/>
        <v>6168648.35718409</v>
      </c>
      <c r="G73" s="95">
        <f t="shared" si="4"/>
        <v>6292021.32432777</v>
      </c>
      <c r="H73" s="92">
        <f t="shared" si="2"/>
        <v>74270526.2204964</v>
      </c>
      <c r="I73" s="96">
        <f t="shared" si="5"/>
        <v>0.257698448055004</v>
      </c>
      <c r="J73" s="94">
        <f t="shared" si="1"/>
        <v>19139399.3432504</v>
      </c>
      <c r="M73" s="66"/>
    </row>
    <row r="74" ht="15.6" spans="2:13">
      <c r="B74" s="1"/>
      <c r="C74" s="87">
        <v>23</v>
      </c>
      <c r="D74" s="177" t="s">
        <v>172</v>
      </c>
      <c r="E74" s="55" t="s">
        <v>173</v>
      </c>
      <c r="F74" s="90">
        <f t="shared" si="3"/>
        <v>6292021.32432777</v>
      </c>
      <c r="G74" s="95">
        <f t="shared" si="4"/>
        <v>6417861.75081432</v>
      </c>
      <c r="H74" s="92">
        <f t="shared" si="2"/>
        <v>75755936.7449063</v>
      </c>
      <c r="I74" s="96">
        <f t="shared" si="5"/>
        <v>0.241584745528268</v>
      </c>
      <c r="J74" s="94">
        <f t="shared" si="1"/>
        <v>18301478.7007738</v>
      </c>
      <c r="M74" s="66"/>
    </row>
    <row r="75" ht="15.6" spans="2:13">
      <c r="B75" s="1"/>
      <c r="C75" s="87">
        <v>24</v>
      </c>
      <c r="D75" s="177" t="s">
        <v>174</v>
      </c>
      <c r="E75" s="55" t="s">
        <v>175</v>
      </c>
      <c r="F75" s="90">
        <f t="shared" si="3"/>
        <v>6417861.75081432</v>
      </c>
      <c r="G75" s="95">
        <f t="shared" si="4"/>
        <v>6546218.98583061</v>
      </c>
      <c r="H75" s="92">
        <f t="shared" si="2"/>
        <v>77271055.4798044</v>
      </c>
      <c r="I75" s="96">
        <f t="shared" si="5"/>
        <v>0.22647862147583</v>
      </c>
      <c r="J75" s="94">
        <f t="shared" si="1"/>
        <v>17500242.1250485</v>
      </c>
      <c r="M75" s="66"/>
    </row>
    <row r="76" ht="15.6" spans="2:13">
      <c r="B76" s="1"/>
      <c r="C76" s="87">
        <v>25</v>
      </c>
      <c r="D76" s="177" t="s">
        <v>176</v>
      </c>
      <c r="E76" s="55" t="s">
        <v>177</v>
      </c>
      <c r="F76" s="90">
        <f t="shared" si="3"/>
        <v>6546218.98583061</v>
      </c>
      <c r="G76" s="95">
        <f t="shared" si="4"/>
        <v>6677143.36554722</v>
      </c>
      <c r="H76" s="92">
        <f t="shared" si="2"/>
        <v>78816476.5894005</v>
      </c>
      <c r="I76" s="96">
        <f t="shared" si="5"/>
        <v>0.212317072725068</v>
      </c>
      <c r="J76" s="94">
        <f t="shared" si="1"/>
        <v>16734083.5919654</v>
      </c>
      <c r="M76" s="66"/>
    </row>
    <row r="77" ht="15.6" spans="2:13">
      <c r="B77" s="1"/>
      <c r="C77" s="87">
        <v>26</v>
      </c>
      <c r="D77" s="177" t="s">
        <v>178</v>
      </c>
      <c r="E77" s="55" t="s">
        <v>179</v>
      </c>
      <c r="F77" s="90">
        <f t="shared" si="3"/>
        <v>6677143.36554722</v>
      </c>
      <c r="G77" s="95">
        <f t="shared" si="4"/>
        <v>6810686.23285817</v>
      </c>
      <c r="H77" s="92">
        <f t="shared" si="2"/>
        <v>80392806.1211886</v>
      </c>
      <c r="I77" s="96">
        <f t="shared" si="5"/>
        <v>0.199041035647388</v>
      </c>
      <c r="J77" s="94">
        <f t="shared" si="1"/>
        <v>16001467.388961</v>
      </c>
      <c r="M77" s="66"/>
    </row>
    <row r="78" ht="15.6" spans="2:13">
      <c r="B78" s="1"/>
      <c r="C78" s="87">
        <v>27</v>
      </c>
      <c r="D78" s="177" t="s">
        <v>180</v>
      </c>
      <c r="E78" s="55" t="s">
        <v>181</v>
      </c>
      <c r="F78" s="90">
        <f t="shared" si="3"/>
        <v>6810686.23285817</v>
      </c>
      <c r="G78" s="95">
        <f t="shared" si="4"/>
        <v>6946899.95751533</v>
      </c>
      <c r="H78" s="92">
        <f t="shared" si="2"/>
        <v>82000662.2436123</v>
      </c>
      <c r="I78" s="96">
        <f t="shared" si="5"/>
        <v>0.186595139821306</v>
      </c>
      <c r="J78" s="94">
        <f t="shared" si="1"/>
        <v>15300925.0367866</v>
      </c>
      <c r="M78" s="66"/>
    </row>
    <row r="79" ht="15.6" spans="2:13">
      <c r="B79" s="1"/>
      <c r="C79" s="87">
        <v>28</v>
      </c>
      <c r="D79" s="177" t="s">
        <v>182</v>
      </c>
      <c r="E79" s="55" t="s">
        <v>183</v>
      </c>
      <c r="F79" s="90">
        <f t="shared" si="3"/>
        <v>6946899.95751533</v>
      </c>
      <c r="G79" s="95">
        <f t="shared" si="4"/>
        <v>7085837.95666564</v>
      </c>
      <c r="H79" s="92">
        <f t="shared" si="2"/>
        <v>83640675.4884846</v>
      </c>
      <c r="I79" s="96">
        <f t="shared" si="5"/>
        <v>0.174927477098815</v>
      </c>
      <c r="J79" s="94">
        <f t="shared" si="1"/>
        <v>14631052.3460413</v>
      </c>
      <c r="M79" s="66"/>
    </row>
    <row r="80" ht="15.6" spans="2:13">
      <c r="B80" s="1"/>
      <c r="C80" s="87">
        <v>29</v>
      </c>
      <c r="D80" s="177" t="s">
        <v>184</v>
      </c>
      <c r="E80" s="55" t="s">
        <v>185</v>
      </c>
      <c r="F80" s="90">
        <f t="shared" si="3"/>
        <v>7085837.95666564</v>
      </c>
      <c r="G80" s="95">
        <f t="shared" si="4"/>
        <v>7227554.71579895</v>
      </c>
      <c r="H80" s="92">
        <f t="shared" si="2"/>
        <v>85313488.9982543</v>
      </c>
      <c r="I80" s="96">
        <f t="shared" si="5"/>
        <v>0.163989385111855</v>
      </c>
      <c r="J80" s="94">
        <f t="shared" si="1"/>
        <v>13990506.6025707</v>
      </c>
      <c r="M80" s="66"/>
    </row>
    <row r="81" ht="15.6" spans="2:13">
      <c r="B81" s="1"/>
      <c r="C81" s="118">
        <v>30</v>
      </c>
      <c r="D81" s="177" t="s">
        <v>186</v>
      </c>
      <c r="E81" s="55" t="s">
        <v>187</v>
      </c>
      <c r="F81" s="119">
        <f t="shared" si="3"/>
        <v>7227554.71579895</v>
      </c>
      <c r="G81" s="95">
        <f t="shared" si="4"/>
        <v>7372105.81011493</v>
      </c>
      <c r="H81" s="92">
        <f t="shared" si="2"/>
        <v>87019758.7782193</v>
      </c>
      <c r="I81" s="120">
        <f t="shared" si="5"/>
        <v>0.153735244315979</v>
      </c>
      <c r="J81" s="94">
        <f t="shared" si="1"/>
        <v>13378003.8760871</v>
      </c>
      <c r="M81" s="66"/>
    </row>
    <row r="82" ht="15.6" spans="2:13">
      <c r="C82" s="87">
        <v>31</v>
      </c>
      <c r="D82" s="177" t="s">
        <v>220</v>
      </c>
      <c r="E82" s="55" t="s">
        <v>221</v>
      </c>
      <c r="F82" s="90">
        <f t="shared" ref="F82:F111" si="6">+G81</f>
        <v>7372105.81011493</v>
      </c>
      <c r="G82" s="95">
        <f t="shared" ref="G82:G111" si="7">F82*1.02</f>
        <v>7519547.92631723</v>
      </c>
      <c r="H82" s="92">
        <f t="shared" si="2"/>
        <v>88760153.9537837</v>
      </c>
      <c r="I82" s="96">
        <f t="shared" ref="I82:I111" si="8">1/(1+(0.01*$G$36))^(C82-1)</f>
        <v>0.144122287724739</v>
      </c>
      <c r="J82" s="94">
        <f t="shared" ref="J82:J111" si="9">+H82*I82</f>
        <v>12792316.4466193</v>
      </c>
      <c r="M82" s="66"/>
    </row>
    <row r="83" ht="15.6" spans="2:13">
      <c r="C83" s="118">
        <v>32</v>
      </c>
      <c r="D83" s="177" t="s">
        <v>222</v>
      </c>
      <c r="E83" s="55" t="s">
        <v>223</v>
      </c>
      <c r="F83" s="119">
        <f t="shared" si="6"/>
        <v>7519547.92631723</v>
      </c>
      <c r="G83" s="95">
        <f t="shared" si="7"/>
        <v>7669938.88484357</v>
      </c>
      <c r="H83" s="92">
        <f t="shared" si="2"/>
        <v>90535357.0328594</v>
      </c>
      <c r="I83" s="120">
        <f t="shared" si="8"/>
        <v>0.135110422541238</v>
      </c>
      <c r="J83" s="94">
        <f t="shared" si="9"/>
        <v>12232270.3436315</v>
      </c>
      <c r="M83" s="66"/>
    </row>
    <row r="84" ht="13.5" customHeight="1" spans="2:13">
      <c r="C84" s="87">
        <v>33</v>
      </c>
      <c r="D84" s="177" t="s">
        <v>224</v>
      </c>
      <c r="E84" s="55" t="s">
        <v>225</v>
      </c>
      <c r="F84" s="90">
        <f t="shared" si="6"/>
        <v>7669938.88484357</v>
      </c>
      <c r="G84" s="95">
        <f t="shared" si="7"/>
        <v>7823337.66254044</v>
      </c>
      <c r="H84" s="92">
        <f t="shared" si="2"/>
        <v>92346064.1735166</v>
      </c>
      <c r="I84" s="96">
        <f t="shared" si="8"/>
        <v>0.126662062942944</v>
      </c>
      <c r="J84" s="94">
        <f t="shared" si="9"/>
        <v>11696742.9928791</v>
      </c>
      <c r="M84" s="66"/>
    </row>
    <row r="85" ht="15.6" spans="2:13">
      <c r="C85" s="118">
        <v>34</v>
      </c>
      <c r="D85" s="177" t="s">
        <v>226</v>
      </c>
      <c r="E85" s="55" t="s">
        <v>227</v>
      </c>
      <c r="F85" s="119">
        <f t="shared" si="6"/>
        <v>7823337.66254044</v>
      </c>
      <c r="G85" s="95">
        <f t="shared" si="7"/>
        <v>7979804.41579125</v>
      </c>
      <c r="H85" s="92">
        <f t="shared" si="2"/>
        <v>94192985.4569869</v>
      </c>
      <c r="I85" s="120">
        <f t="shared" si="8"/>
        <v>0.118741973322344</v>
      </c>
      <c r="J85" s="94">
        <f t="shared" si="9"/>
        <v>11184660.9662854</v>
      </c>
      <c r="M85" s="66"/>
    </row>
    <row r="86" ht="15.6" spans="2:13">
      <c r="C86" s="87">
        <v>35</v>
      </c>
      <c r="D86" s="177" t="s">
        <v>228</v>
      </c>
      <c r="E86" s="55" t="s">
        <v>229</v>
      </c>
      <c r="F86" s="90">
        <f t="shared" si="6"/>
        <v>7979804.41579125</v>
      </c>
      <c r="G86" s="95">
        <f t="shared" si="7"/>
        <v>8139400.50410708</v>
      </c>
      <c r="H86" s="92">
        <f t="shared" si="2"/>
        <v>96076845.1661267</v>
      </c>
      <c r="I86" s="96">
        <f t="shared" si="8"/>
        <v>0.111317121329656</v>
      </c>
      <c r="J86" s="94">
        <f t="shared" si="9"/>
        <v>10694997.8303283</v>
      </c>
      <c r="M86" s="66"/>
    </row>
    <row r="87" ht="15.6" spans="2:13">
      <c r="C87" s="118">
        <v>36</v>
      </c>
      <c r="D87" s="177" t="s">
        <v>230</v>
      </c>
      <c r="E87" s="55" t="s">
        <v>231</v>
      </c>
      <c r="F87" s="119">
        <f t="shared" si="6"/>
        <v>8139400.50410708</v>
      </c>
      <c r="G87" s="95">
        <f t="shared" si="7"/>
        <v>8302188.51418922</v>
      </c>
      <c r="H87" s="92">
        <f t="shared" si="2"/>
        <v>97998382.0694492</v>
      </c>
      <c r="I87" s="120">
        <f t="shared" si="8"/>
        <v>0.104356540104674</v>
      </c>
      <c r="J87" s="94">
        <f t="shared" si="9"/>
        <v>10226772.0886236</v>
      </c>
      <c r="M87" s="66"/>
    </row>
    <row r="88" ht="15.6" spans="2:13">
      <c r="C88" s="87">
        <v>37</v>
      </c>
      <c r="D88" s="177" t="s">
        <v>232</v>
      </c>
      <c r="E88" s="55" t="s">
        <v>233</v>
      </c>
      <c r="F88" s="90">
        <f t="shared" si="6"/>
        <v>8302188.51418922</v>
      </c>
      <c r="G88" s="95">
        <f t="shared" si="7"/>
        <v>8468232.284473</v>
      </c>
      <c r="H88" s="92">
        <f t="shared" si="2"/>
        <v>99958349.7108382</v>
      </c>
      <c r="I88" s="96">
        <f t="shared" si="8"/>
        <v>0.0978311991231591</v>
      </c>
      <c r="J88" s="94">
        <f t="shared" si="9"/>
        <v>9779045.21458339</v>
      </c>
      <c r="M88" s="66"/>
    </row>
    <row r="89" ht="15.75" customHeight="1" spans="2:13">
      <c r="C89" s="118">
        <v>38</v>
      </c>
      <c r="D89" s="177" t="s">
        <v>234</v>
      </c>
      <c r="E89" s="55" t="s">
        <v>235</v>
      </c>
      <c r="F89" s="119">
        <f t="shared" si="6"/>
        <v>8468232.284473</v>
      </c>
      <c r="G89" s="95">
        <f t="shared" si="7"/>
        <v>8637596.93016246</v>
      </c>
      <c r="H89" s="92">
        <f t="shared" si="2"/>
        <v>101957516.705055</v>
      </c>
      <c r="I89" s="120">
        <f t="shared" si="8"/>
        <v>0.0917138831191142</v>
      </c>
      <c r="J89" s="94">
        <f t="shared" si="9"/>
        <v>9350919.77020254</v>
      </c>
      <c r="M89" s="66"/>
    </row>
    <row r="90" ht="15.75" customHeight="1" spans="2:13">
      <c r="C90" s="87">
        <v>39</v>
      </c>
      <c r="D90" s="177" t="s">
        <v>236</v>
      </c>
      <c r="E90" s="55" t="s">
        <v>237</v>
      </c>
      <c r="F90" s="90">
        <f t="shared" si="6"/>
        <v>8637596.93016246</v>
      </c>
      <c r="G90" s="95">
        <f t="shared" si="7"/>
        <v>8810348.86876571</v>
      </c>
      <c r="H90" s="92">
        <f t="shared" si="2"/>
        <v>103996667.039156</v>
      </c>
      <c r="I90" s="96">
        <f t="shared" si="8"/>
        <v>0.085979078577964</v>
      </c>
      <c r="J90" s="94">
        <f t="shared" si="9"/>
        <v>8941537.60720596</v>
      </c>
      <c r="M90" s="66"/>
    </row>
    <row r="91" ht="15.6" spans="2:13">
      <c r="C91" s="118">
        <v>40</v>
      </c>
      <c r="D91" s="177" t="s">
        <v>238</v>
      </c>
      <c r="E91" s="55" t="s">
        <v>239</v>
      </c>
      <c r="F91" s="119">
        <f t="shared" si="6"/>
        <v>8810348.86876571</v>
      </c>
      <c r="G91" s="95">
        <f t="shared" si="7"/>
        <v>8986555.84614103</v>
      </c>
      <c r="H91" s="92">
        <f t="shared" si="2"/>
        <v>106076600.379939</v>
      </c>
      <c r="I91" s="120">
        <f t="shared" si="8"/>
        <v>0.0806028673272373</v>
      </c>
      <c r="J91" s="94">
        <f t="shared" si="9"/>
        <v>8550078.14694861</v>
      </c>
      <c r="M91" s="66"/>
    </row>
    <row r="92" ht="15.6" spans="2:13">
      <c r="C92" s="87">
        <v>41</v>
      </c>
      <c r="D92" s="177" t="s">
        <v>240</v>
      </c>
      <c r="E92" s="55" t="s">
        <v>241</v>
      </c>
      <c r="F92" s="90">
        <f t="shared" si="6"/>
        <v>8986555.84614103</v>
      </c>
      <c r="G92" s="95">
        <f t="shared" si="7"/>
        <v>9166286.96306385</v>
      </c>
      <c r="H92" s="92">
        <f t="shared" si="2"/>
        <v>108198132.387538</v>
      </c>
      <c r="I92" s="96">
        <f t="shared" si="8"/>
        <v>0.0755628267809481</v>
      </c>
      <c r="J92" s="94">
        <f t="shared" si="9"/>
        <v>8175756.73562162</v>
      </c>
      <c r="M92" s="66"/>
    </row>
    <row r="93" ht="15.6" spans="2:13">
      <c r="C93" s="118">
        <v>42</v>
      </c>
      <c r="D93" s="177" t="s">
        <v>242</v>
      </c>
      <c r="E93" s="55" t="s">
        <v>243</v>
      </c>
      <c r="F93" s="119">
        <f t="shared" si="6"/>
        <v>9166286.96306385</v>
      </c>
      <c r="G93" s="95">
        <f t="shared" si="7"/>
        <v>9349612.70232512</v>
      </c>
      <c r="H93" s="92">
        <f t="shared" si="2"/>
        <v>110362095.035289</v>
      </c>
      <c r="I93" s="120">
        <f t="shared" si="8"/>
        <v>0.0708379364216256</v>
      </c>
      <c r="J93" s="94">
        <f t="shared" si="9"/>
        <v>7817823.07146719</v>
      </c>
      <c r="M93" s="66"/>
    </row>
    <row r="94" ht="15.6" spans="2:13">
      <c r="C94" s="87">
        <v>43</v>
      </c>
      <c r="D94" s="177" t="s">
        <v>244</v>
      </c>
      <c r="E94" s="55" t="s">
        <v>245</v>
      </c>
      <c r="F94" s="90">
        <f t="shared" si="6"/>
        <v>9349612.70232512</v>
      </c>
      <c r="G94" s="95">
        <f t="shared" si="7"/>
        <v>9536604.95637163</v>
      </c>
      <c r="H94" s="92">
        <f t="shared" si="2"/>
        <v>112569336.935994</v>
      </c>
      <c r="I94" s="96">
        <f t="shared" si="8"/>
        <v>0.0664084901299575</v>
      </c>
      <c r="J94" s="94">
        <f t="shared" si="9"/>
        <v>7475559.70084985</v>
      </c>
      <c r="M94" s="66"/>
    </row>
    <row r="95" ht="15.6" spans="2:13">
      <c r="C95" s="118">
        <v>44</v>
      </c>
      <c r="D95" s="177" t="s">
        <v>246</v>
      </c>
      <c r="E95" s="55" t="s">
        <v>247</v>
      </c>
      <c r="F95" s="119">
        <f t="shared" si="6"/>
        <v>9536604.95637163</v>
      </c>
      <c r="G95" s="95">
        <f t="shared" si="7"/>
        <v>9727337.05549906</v>
      </c>
      <c r="H95" s="92">
        <f t="shared" si="2"/>
        <v>114820723.674714</v>
      </c>
      <c r="I95" s="120">
        <f t="shared" si="8"/>
        <v>0.0622560139963977</v>
      </c>
      <c r="J95" s="94">
        <f t="shared" si="9"/>
        <v>7148280.58016953</v>
      </c>
      <c r="M95" s="66"/>
    </row>
    <row r="96" ht="15.6" spans="2:13">
      <c r="C96" s="87">
        <v>45</v>
      </c>
      <c r="D96" s="177" t="s">
        <v>248</v>
      </c>
      <c r="E96" s="55" t="s">
        <v>249</v>
      </c>
      <c r="F96" s="90">
        <f t="shared" si="6"/>
        <v>9727337.05549906</v>
      </c>
      <c r="G96" s="95">
        <f t="shared" si="7"/>
        <v>9921883.79660904</v>
      </c>
      <c r="H96" s="92">
        <f t="shared" si="2"/>
        <v>117117138.148209</v>
      </c>
      <c r="I96" s="96">
        <f t="shared" si="8"/>
        <v>0.0583631892719581</v>
      </c>
      <c r="J96" s="94">
        <f t="shared" si="9"/>
        <v>6835329.70073397</v>
      </c>
      <c r="M96" s="66"/>
    </row>
    <row r="97" ht="15.6" spans="3:13">
      <c r="C97" s="118">
        <v>46</v>
      </c>
      <c r="D97" s="177" t="s">
        <v>250</v>
      </c>
      <c r="E97" s="55" t="s">
        <v>251</v>
      </c>
      <c r="F97" s="119">
        <f t="shared" si="6"/>
        <v>9921883.79660904</v>
      </c>
      <c r="G97" s="95">
        <f t="shared" si="7"/>
        <v>10120321.4725412</v>
      </c>
      <c r="H97" s="92">
        <f t="shared" si="2"/>
        <v>119459480.911173</v>
      </c>
      <c r="I97" s="120">
        <f t="shared" si="8"/>
        <v>0.0547137801368315</v>
      </c>
      <c r="J97" s="94">
        <f t="shared" si="9"/>
        <v>6536079.77383393</v>
      </c>
      <c r="M97" s="66"/>
    </row>
    <row r="98" ht="15.6" spans="3:13">
      <c r="C98" s="87">
        <v>47</v>
      </c>
      <c r="D98" s="177" t="s">
        <v>252</v>
      </c>
      <c r="E98" s="55" t="s">
        <v>253</v>
      </c>
      <c r="F98" s="90">
        <f t="shared" si="6"/>
        <v>10120321.4725412</v>
      </c>
      <c r="G98" s="95">
        <f t="shared" si="7"/>
        <v>10322727.901992</v>
      </c>
      <c r="H98" s="92">
        <f t="shared" si="2"/>
        <v>121848670.529396</v>
      </c>
      <c r="I98" s="96">
        <f t="shared" si="8"/>
        <v>0.0512925659855925</v>
      </c>
      <c r="J98" s="94">
        <f t="shared" si="9"/>
        <v>6249930.97338577</v>
      </c>
      <c r="M98" s="66"/>
    </row>
    <row r="99" ht="15.6" spans="3:13">
      <c r="C99" s="118">
        <v>48</v>
      </c>
      <c r="D99" s="177" t="s">
        <v>254</v>
      </c>
      <c r="E99" s="55" t="s">
        <v>255</v>
      </c>
      <c r="F99" s="119">
        <f t="shared" si="6"/>
        <v>10322727.901992</v>
      </c>
      <c r="G99" s="95">
        <f t="shared" si="7"/>
        <v>10529182.4600319</v>
      </c>
      <c r="H99" s="92">
        <f t="shared" si="2"/>
        <v>124285643.939984</v>
      </c>
      <c r="I99" s="120">
        <f t="shared" si="8"/>
        <v>0.0480852779465571</v>
      </c>
      <c r="J99" s="94">
        <f t="shared" si="9"/>
        <v>5976309.73362097</v>
      </c>
      <c r="M99" s="66"/>
    </row>
    <row r="100" ht="15.6" spans="3:13">
      <c r="C100" s="87">
        <v>49</v>
      </c>
      <c r="D100" s="177" t="s">
        <v>256</v>
      </c>
      <c r="E100" s="55" t="s">
        <v>257</v>
      </c>
      <c r="F100" s="90">
        <f t="shared" si="6"/>
        <v>10529182.4600319</v>
      </c>
      <c r="G100" s="95">
        <f t="shared" si="7"/>
        <v>10739766.1092325</v>
      </c>
      <c r="H100" s="92">
        <f t="shared" si="2"/>
        <v>126771356.818784</v>
      </c>
      <c r="I100" s="96">
        <f t="shared" si="8"/>
        <v>0.0450785393705419</v>
      </c>
      <c r="J100" s="94">
        <f t="shared" si="9"/>
        <v>5714667.59941257</v>
      </c>
      <c r="M100" s="66"/>
    </row>
    <row r="101" ht="15.6" spans="3:13">
      <c r="C101" s="118">
        <v>50</v>
      </c>
      <c r="D101" s="177" t="s">
        <v>258</v>
      </c>
      <c r="E101" s="55" t="s">
        <v>259</v>
      </c>
      <c r="F101" s="119">
        <f t="shared" si="6"/>
        <v>10739766.1092325</v>
      </c>
      <c r="G101" s="95">
        <f t="shared" si="7"/>
        <v>10954561.4314172</v>
      </c>
      <c r="H101" s="92">
        <f t="shared" si="2"/>
        <v>129306783.95516</v>
      </c>
      <c r="I101" s="120">
        <f t="shared" si="8"/>
        <v>0.0422598100408193</v>
      </c>
      <c r="J101" s="94">
        <f t="shared" si="9"/>
        <v>5464480.12693431</v>
      </c>
      <c r="M101" s="66"/>
    </row>
    <row r="102" ht="15.6" spans="3:13">
      <c r="C102" s="87">
        <v>51</v>
      </c>
      <c r="D102" s="177" t="s">
        <v>260</v>
      </c>
      <c r="E102" s="55" t="s">
        <v>261</v>
      </c>
      <c r="F102" s="90">
        <f t="shared" si="6"/>
        <v>10954561.4314172</v>
      </c>
      <c r="G102" s="95">
        <f t="shared" si="7"/>
        <v>11173652.6600455</v>
      </c>
      <c r="H102" s="92">
        <f t="shared" si="2"/>
        <v>131892919.634263</v>
      </c>
      <c r="I102" s="96">
        <f t="shared" si="8"/>
        <v>0.0396173338715846</v>
      </c>
      <c r="J102" s="94">
        <f t="shared" si="9"/>
        <v>5225245.83244867</v>
      </c>
      <c r="M102" s="66"/>
    </row>
    <row r="103" ht="15.6" spans="3:13">
      <c r="C103" s="118">
        <v>52</v>
      </c>
      <c r="D103" s="177" t="s">
        <v>262</v>
      </c>
      <c r="E103" s="55" t="s">
        <v>263</v>
      </c>
      <c r="F103" s="119">
        <f t="shared" si="6"/>
        <v>11173652.6600455</v>
      </c>
      <c r="G103" s="95">
        <f t="shared" si="7"/>
        <v>11397125.7132464</v>
      </c>
      <c r="H103" s="92">
        <f t="shared" si="2"/>
        <v>134530778.026948</v>
      </c>
      <c r="I103" s="120">
        <f t="shared" si="8"/>
        <v>0.0371400898768019</v>
      </c>
      <c r="J103" s="94">
        <f t="shared" si="9"/>
        <v>4996485.18711694</v>
      </c>
      <c r="M103" s="66"/>
    </row>
    <row r="104" ht="15.6" spans="3:13">
      <c r="C104" s="87">
        <v>53</v>
      </c>
      <c r="D104" s="177" t="s">
        <v>264</v>
      </c>
      <c r="E104" s="55" t="s">
        <v>265</v>
      </c>
      <c r="F104" s="90">
        <f t="shared" si="6"/>
        <v>11397125.7132464</v>
      </c>
      <c r="G104" s="95">
        <f t="shared" si="7"/>
        <v>11625068.2275114</v>
      </c>
      <c r="H104" s="92">
        <f t="shared" si="2"/>
        <v>137221393.587487</v>
      </c>
      <c r="I104" s="96">
        <f t="shared" si="8"/>
        <v>0.0348177462049329</v>
      </c>
      <c r="J104" s="94">
        <f t="shared" si="9"/>
        <v>4777739.65581633</v>
      </c>
      <c r="M104" s="66"/>
    </row>
    <row r="105" ht="15.6" spans="3:13">
      <c r="C105" s="118">
        <v>54</v>
      </c>
      <c r="D105" s="177" t="s">
        <v>266</v>
      </c>
      <c r="E105" s="55" t="s">
        <v>267</v>
      </c>
      <c r="F105" s="119">
        <f t="shared" si="6"/>
        <v>11625068.2275114</v>
      </c>
      <c r="G105" s="95">
        <f t="shared" si="7"/>
        <v>11857569.5920616</v>
      </c>
      <c r="H105" s="92">
        <f t="shared" si="2"/>
        <v>139965821.459237</v>
      </c>
      <c r="I105" s="120">
        <f t="shared" si="8"/>
        <v>0.0326406170478418</v>
      </c>
      <c r="J105" s="94">
        <f t="shared" si="9"/>
        <v>4568570.77803755</v>
      </c>
      <c r="M105" s="66"/>
    </row>
    <row r="106" ht="15.6" spans="3:13">
      <c r="C106" s="87">
        <v>55</v>
      </c>
      <c r="D106" s="177" t="s">
        <v>268</v>
      </c>
      <c r="E106" s="55" t="s">
        <v>269</v>
      </c>
      <c r="F106" s="90">
        <f t="shared" si="6"/>
        <v>11857569.5920616</v>
      </c>
      <c r="G106" s="95">
        <f t="shared" si="7"/>
        <v>12094720.9839028</v>
      </c>
      <c r="H106" s="92">
        <f t="shared" si="2"/>
        <v>142765137.888421</v>
      </c>
      <c r="I106" s="96">
        <f t="shared" si="8"/>
        <v>0.0305996222441566</v>
      </c>
      <c r="J106" s="94">
        <f t="shared" si="9"/>
        <v>4368559.28902062</v>
      </c>
      <c r="M106" s="66"/>
    </row>
    <row r="107" ht="15.6" spans="3:13">
      <c r="C107" s="118">
        <v>56</v>
      </c>
      <c r="D107" s="177" t="s">
        <v>270</v>
      </c>
      <c r="E107" s="55" t="s">
        <v>271</v>
      </c>
      <c r="F107" s="119">
        <f t="shared" si="6"/>
        <v>12094720.9839028</v>
      </c>
      <c r="G107" s="95">
        <f t="shared" si="7"/>
        <v>12336615.4035809</v>
      </c>
      <c r="H107" s="92">
        <f t="shared" si="2"/>
        <v>145620440.64619</v>
      </c>
      <c r="I107" s="120">
        <f t="shared" si="8"/>
        <v>0.0286862494086028</v>
      </c>
      <c r="J107" s="94">
        <f t="shared" si="9"/>
        <v>4177304.27936724</v>
      </c>
      <c r="M107" s="66"/>
    </row>
    <row r="108" ht="15.6" spans="3:13">
      <c r="C108" s="87">
        <v>57</v>
      </c>
      <c r="D108" s="177" t="s">
        <v>272</v>
      </c>
      <c r="E108" s="55" t="s">
        <v>273</v>
      </c>
      <c r="F108" s="90">
        <f t="shared" si="6"/>
        <v>12336615.4035809</v>
      </c>
      <c r="G108" s="95">
        <f t="shared" si="7"/>
        <v>12583347.7116525</v>
      </c>
      <c r="H108" s="92">
        <f t="shared" si="2"/>
        <v>148532849.459114</v>
      </c>
      <c r="I108" s="96">
        <f t="shared" si="8"/>
        <v>0.0268925184293642</v>
      </c>
      <c r="J108" s="94">
        <f t="shared" si="9"/>
        <v>3994422.3914452</v>
      </c>
      <c r="M108" s="66"/>
    </row>
    <row r="109" ht="15.6" spans="3:13">
      <c r="C109" s="118">
        <v>58</v>
      </c>
      <c r="D109" s="177" t="s">
        <v>274</v>
      </c>
      <c r="E109" s="55" t="s">
        <v>275</v>
      </c>
      <c r="F109" s="119">
        <f t="shared" si="6"/>
        <v>12583347.7116525</v>
      </c>
      <c r="G109" s="95">
        <f t="shared" si="7"/>
        <v>12835014.6658855</v>
      </c>
      <c r="H109" s="92">
        <f t="shared" si="2"/>
        <v>151503506.448296</v>
      </c>
      <c r="I109" s="120">
        <f t="shared" si="8"/>
        <v>0.0252109481853981</v>
      </c>
      <c r="J109" s="94">
        <f t="shared" si="9"/>
        <v>3819547.05097412</v>
      </c>
      <c r="M109" s="66"/>
    </row>
    <row r="110" ht="15.6" spans="3:13">
      <c r="C110" s="87">
        <v>59</v>
      </c>
      <c r="D110" s="177" t="s">
        <v>276</v>
      </c>
      <c r="E110" s="55" t="s">
        <v>277</v>
      </c>
      <c r="F110" s="90">
        <f t="shared" si="6"/>
        <v>12835014.6658855</v>
      </c>
      <c r="G110" s="95">
        <f t="shared" si="7"/>
        <v>13091714.9592033</v>
      </c>
      <c r="H110" s="92">
        <f t="shared" si="2"/>
        <v>154533576.577262</v>
      </c>
      <c r="I110" s="96">
        <f t="shared" si="8"/>
        <v>0.0236345253448937</v>
      </c>
      <c r="J110" s="94">
        <f t="shared" si="9"/>
        <v>3652327.73225237</v>
      </c>
      <c r="M110" s="66"/>
    </row>
    <row r="111" ht="15.6" spans="3:13">
      <c r="C111" s="118">
        <v>60</v>
      </c>
      <c r="D111" s="177" t="s">
        <v>278</v>
      </c>
      <c r="E111" s="55" t="s">
        <v>279</v>
      </c>
      <c r="F111" s="119">
        <f t="shared" si="6"/>
        <v>13091714.9592033</v>
      </c>
      <c r="G111" s="95">
        <f t="shared" si="7"/>
        <v>13353549.2583873</v>
      </c>
      <c r="H111" s="92">
        <f t="shared" si="2"/>
        <v>157624248.108807</v>
      </c>
      <c r="I111" s="120">
        <f t="shared" si="8"/>
        <v>0.0221566751147405</v>
      </c>
      <c r="J111" s="94">
        <f t="shared" si="9"/>
        <v>3492429.2555521</v>
      </c>
      <c r="M111" s="66"/>
    </row>
    <row r="112" ht="16.35" spans="3:13">
      <c r="C112" s="87"/>
      <c r="D112" s="55"/>
      <c r="E112" s="55"/>
      <c r="F112" s="90"/>
      <c r="G112" s="95"/>
      <c r="H112" s="92"/>
      <c r="I112" s="96"/>
      <c r="J112" s="94"/>
    </row>
    <row r="113" ht="18.75" spans="3:12">
      <c r="C113" s="121"/>
      <c r="D113" s="122"/>
      <c r="E113" s="122"/>
      <c r="F113" s="123" t="s">
        <v>103</v>
      </c>
      <c r="G113" s="102"/>
      <c r="H113" s="124"/>
      <c r="I113" s="125"/>
      <c r="J113" s="105">
        <f>+SUM(J52:J111)</f>
        <v>1042998839.29586</v>
      </c>
      <c r="K113" s="106" t="s">
        <v>188</v>
      </c>
      <c r="L113" s="106" t="s">
        <v>104</v>
      </c>
    </row>
    <row r="114" ht="15.6" spans="3:12">
      <c r="C114" s="1"/>
      <c r="D114" s="1"/>
      <c r="E114" s="1"/>
      <c r="H114" s="1"/>
      <c r="I114" s="1"/>
      <c r="J114" s="30">
        <f>+J113/10000000</f>
        <v>104.299883929586</v>
      </c>
      <c r="K114" s="1" t="s">
        <v>105</v>
      </c>
      <c r="L114" s="106" t="s">
        <v>104</v>
      </c>
    </row>
    <row r="115" spans="3:12">
      <c r="D115" s="126"/>
      <c r="E115" s="127" t="s">
        <v>280</v>
      </c>
      <c r="F115" s="127"/>
      <c r="G115" s="127"/>
      <c r="H115" s="127"/>
      <c r="I115" s="127"/>
      <c r="J115" s="128"/>
      <c r="K115" s="126"/>
    </row>
    <row r="116" ht="15.6" spans="3:12">
      <c r="D116" s="126">
        <v>1</v>
      </c>
      <c r="E116" s="129" t="s">
        <v>190</v>
      </c>
      <c r="F116" s="130"/>
      <c r="G116" s="130"/>
      <c r="H116" s="130"/>
      <c r="I116" s="130"/>
      <c r="J116" s="128">
        <v>15037</v>
      </c>
      <c r="K116" s="126" t="s">
        <v>11</v>
      </c>
      <c r="L116" s="106" t="s">
        <v>104</v>
      </c>
    </row>
    <row r="117" ht="15.6" spans="3:12">
      <c r="D117" s="126">
        <v>2</v>
      </c>
      <c r="E117" s="131" t="s">
        <v>191</v>
      </c>
      <c r="F117" s="131"/>
      <c r="G117" s="131"/>
      <c r="H117" s="131"/>
      <c r="I117" s="131"/>
      <c r="J117" s="131" t="s">
        <v>192</v>
      </c>
      <c r="K117" s="1"/>
    </row>
    <row r="118" ht="15.6" spans="3:12">
      <c r="D118" s="126">
        <v>3</v>
      </c>
      <c r="E118" s="132" t="s">
        <v>193</v>
      </c>
      <c r="F118" s="132"/>
      <c r="G118" s="132"/>
      <c r="H118" s="132"/>
      <c r="I118" s="132"/>
      <c r="J118" s="133">
        <v>56</v>
      </c>
      <c r="K118" s="1"/>
    </row>
    <row r="119" ht="15.6" spans="3:12">
      <c r="D119" s="126">
        <v>4</v>
      </c>
      <c r="E119" s="134" t="s">
        <v>281</v>
      </c>
      <c r="F119" s="134"/>
      <c r="G119" s="134"/>
      <c r="H119" s="134"/>
      <c r="I119" s="134"/>
      <c r="J119" s="138">
        <v>12072153.02</v>
      </c>
      <c r="K119" s="1"/>
    </row>
    <row r="120" ht="15.6" spans="3:12">
      <c r="D120" s="126">
        <v>5</v>
      </c>
      <c r="E120" s="135" t="s">
        <v>282</v>
      </c>
      <c r="F120" s="135"/>
      <c r="G120" s="135"/>
      <c r="H120" s="135"/>
      <c r="I120" s="135"/>
      <c r="J120" s="138">
        <f>ROUND(J119*18%,2)</f>
        <v>2172987.54</v>
      </c>
      <c r="K120" s="1"/>
    </row>
    <row r="121" ht="15.6" spans="3:12">
      <c r="D121" s="126"/>
      <c r="E121" s="129" t="s">
        <v>283</v>
      </c>
      <c r="G121" s="129"/>
      <c r="H121" s="130"/>
      <c r="I121" s="130"/>
      <c r="J121" s="138">
        <f>J119+J120</f>
        <v>14245140.56</v>
      </c>
      <c r="K121" s="1" t="s">
        <v>199</v>
      </c>
    </row>
    <row r="122" ht="15.6" spans="3:12">
      <c r="D122" s="126"/>
      <c r="E122" s="129"/>
      <c r="F122" s="130"/>
      <c r="G122" s="130"/>
      <c r="H122" s="130"/>
      <c r="I122" s="130"/>
      <c r="J122" s="128"/>
      <c r="K122" s="126"/>
    </row>
    <row r="123" ht="15.6" spans="3:12">
      <c r="D123" s="1"/>
      <c r="E123" s="1"/>
      <c r="F123" s="1"/>
      <c r="G123" s="1"/>
      <c r="H123" s="1" t="s">
        <v>200</v>
      </c>
      <c r="I123" s="1"/>
      <c r="J123" s="139">
        <f>+J113+J121</f>
        <v>1057243979.85586</v>
      </c>
      <c r="K123" s="1"/>
      <c r="L123" s="107"/>
    </row>
    <row r="124" ht="15.6" spans="3:12">
      <c r="D124" s="1"/>
      <c r="E124" s="1"/>
      <c r="F124" s="1"/>
      <c r="G124" s="1"/>
      <c r="H124" s="1"/>
      <c r="I124" s="1"/>
      <c r="J124" s="30">
        <f>+J123/10000000</f>
        <v>105.724397985586</v>
      </c>
      <c r="K124" s="1" t="s">
        <v>105</v>
      </c>
      <c r="L124" s="107"/>
    </row>
    <row r="125" spans="3:12">
      <c r="L125" s="107"/>
    </row>
    <row r="126" spans="3:12">
      <c r="D126" s="107"/>
      <c r="E126" s="107" t="s">
        <v>106</v>
      </c>
      <c r="F126" s="107" t="s">
        <v>107</v>
      </c>
      <c r="G126" s="107"/>
      <c r="H126" s="107"/>
      <c r="I126" s="108"/>
      <c r="J126" s="107"/>
      <c r="K126" s="107"/>
      <c r="L126" s="107"/>
    </row>
    <row r="127" spans="3:12">
      <c r="D127" s="107"/>
      <c r="E127" s="107"/>
      <c r="F127" s="107" t="s">
        <v>108</v>
      </c>
      <c r="G127" s="107"/>
      <c r="H127" s="107"/>
      <c r="I127" s="108"/>
      <c r="J127" s="107"/>
      <c r="K127" s="107"/>
      <c r="L127" s="107"/>
    </row>
    <row r="128" spans="3:12">
      <c r="D128" s="107"/>
      <c r="E128" s="107"/>
      <c r="F128" s="107" t="s">
        <v>109</v>
      </c>
      <c r="G128" s="107"/>
      <c r="H128" s="107" t="s">
        <v>110</v>
      </c>
      <c r="I128" s="162">
        <f>+E9*2</f>
        <v>14759.78</v>
      </c>
      <c r="J128" s="107"/>
      <c r="K128" s="107"/>
      <c r="L128" s="107"/>
    </row>
    <row r="129" spans="4:12">
      <c r="D129" s="107"/>
      <c r="E129" s="107"/>
      <c r="F129" s="107" t="s">
        <v>111</v>
      </c>
      <c r="G129" s="107"/>
      <c r="H129" s="107"/>
      <c r="I129" s="108"/>
      <c r="J129" s="107"/>
      <c r="K129" s="107"/>
      <c r="L129" s="107"/>
    </row>
    <row r="130" spans="4:12">
      <c r="D130" s="107"/>
      <c r="E130" s="107"/>
      <c r="F130" s="107" t="s">
        <v>112</v>
      </c>
      <c r="G130" s="107"/>
      <c r="H130" s="107"/>
      <c r="I130" s="108"/>
      <c r="J130" s="107"/>
      <c r="K130" s="107"/>
      <c r="L130" s="107"/>
    </row>
    <row r="131" spans="4:12">
      <c r="D131" s="107"/>
      <c r="E131" s="107"/>
      <c r="F131" s="107" t="s">
        <v>113</v>
      </c>
      <c r="G131" s="107"/>
      <c r="H131" s="107"/>
      <c r="I131" s="108"/>
      <c r="J131" s="107"/>
      <c r="K131" s="107"/>
      <c r="L131" s="107"/>
    </row>
    <row r="132" ht="15.6" spans="4:12">
      <c r="D132" s="107"/>
      <c r="E132" s="107"/>
      <c r="F132" s="109" t="s">
        <v>114</v>
      </c>
      <c r="G132" s="108"/>
      <c r="H132" s="110"/>
      <c r="I132" s="108"/>
      <c r="J132" s="107"/>
      <c r="K132" s="107"/>
      <c r="L132" s="107"/>
    </row>
    <row r="133" spans="4:12">
      <c r="D133" s="107"/>
      <c r="E133" s="107"/>
      <c r="F133" s="109" t="s">
        <v>115</v>
      </c>
      <c r="G133" s="107"/>
      <c r="H133" s="107"/>
      <c r="I133" s="107"/>
      <c r="J133" s="107"/>
      <c r="K133" s="107"/>
      <c r="L133" s="107"/>
    </row>
    <row r="134" spans="4:12">
      <c r="D134" s="107"/>
      <c r="E134" s="107"/>
      <c r="F134" s="108" t="s">
        <v>116</v>
      </c>
      <c r="G134" s="107"/>
      <c r="H134" s="107"/>
      <c r="I134" s="107"/>
      <c r="J134" s="107"/>
      <c r="K134" s="107"/>
      <c r="L134" s="107"/>
    </row>
    <row r="135" spans="4:12">
      <c r="D135" s="107"/>
      <c r="E135" s="107"/>
      <c r="F135" s="107"/>
      <c r="G135" s="107"/>
      <c r="H135" s="107"/>
      <c r="I135" s="107"/>
      <c r="J135" s="107"/>
      <c r="K135" s="107"/>
      <c r="L135" s="107"/>
    </row>
    <row r="136" spans="4:12">
      <c r="D136" s="107"/>
      <c r="E136" s="107"/>
      <c r="F136" s="107"/>
      <c r="G136" s="107"/>
      <c r="H136" s="107"/>
      <c r="I136" s="107"/>
      <c r="J136" s="107"/>
      <c r="K136" s="107"/>
      <c r="L136" s="107"/>
    </row>
    <row r="137" spans="4:12">
      <c r="D137" s="107"/>
      <c r="E137" s="107"/>
      <c r="F137" s="107"/>
      <c r="G137" s="107"/>
      <c r="H137" s="107"/>
      <c r="I137" s="107"/>
      <c r="J137" s="107"/>
      <c r="K137" s="107"/>
    </row>
  </sheetData>
  <mergeCells count="7">
    <mergeCell ref="C5:H5"/>
    <mergeCell ref="C6:H6"/>
    <mergeCell ref="E115:I115"/>
    <mergeCell ref="E117:I117"/>
    <mergeCell ref="E118:I118"/>
    <mergeCell ref="E119:I119"/>
    <mergeCell ref="E120:I120"/>
  </mergeCells>
  <pageMargins left="0.95" right="0.7" top="0.25" bottom="0.25" header="0.3" footer="0.3"/>
  <pageSetup paperSize="5" scale="55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98"/>
  <sheetViews>
    <sheetView workbookViewId="0">
      <selection activeCell="A1" sqref="$A1:$XFD1048576"/>
    </sheetView>
  </sheetViews>
  <sheetFormatPr defaultColWidth="9" defaultRowHeight="14.4"/>
  <cols>
    <col min="2" max="2" width="6.28703703703704" customWidth="1"/>
    <col min="3" max="3" width="7.28703703703704" customWidth="1"/>
    <col min="4" max="4" width="14.712962962963" customWidth="1"/>
    <col min="5" max="5" width="13" customWidth="1"/>
    <col min="6" max="6" width="30" customWidth="1"/>
    <col min="7" max="7" width="19.4259259259259" customWidth="1"/>
    <col min="8" max="8" width="18.5740740740741" customWidth="1"/>
    <col min="9" max="9" width="14.287037037037" customWidth="1"/>
    <col min="10" max="10" width="18.8518518518519" customWidth="1"/>
    <col min="11" max="11" width="4" customWidth="1"/>
    <col min="13" max="13" width="14.1388888888889" customWidth="1"/>
  </cols>
  <sheetData>
    <row r="1" spans="2:12">
      <c r="C1" s="1"/>
    </row>
    <row r="2" ht="15.6" spans="2:12">
      <c r="C2" s="1"/>
      <c r="D2" s="2"/>
    </row>
    <row r="3" ht="15.6" spans="2:12">
      <c r="C3" s="1"/>
      <c r="D3" s="2"/>
    </row>
    <row r="4" spans="2:12">
      <c r="B4" s="3"/>
      <c r="C4" s="1"/>
      <c r="D4" s="4" t="s">
        <v>2</v>
      </c>
      <c r="E4" s="1"/>
      <c r="G4" s="1"/>
      <c r="H4" s="1"/>
      <c r="I4" s="1"/>
    </row>
    <row r="5" spans="2:12">
      <c r="B5" s="3"/>
      <c r="C5" s="1"/>
      <c r="D5" s="4"/>
      <c r="E5" s="1"/>
      <c r="G5" s="1"/>
      <c r="H5" s="1"/>
      <c r="I5" s="1"/>
    </row>
    <row r="6" ht="17.4" spans="2:12">
      <c r="B6" s="5"/>
      <c r="C6" s="5" t="s">
        <v>284</v>
      </c>
      <c r="D6" s="5"/>
      <c r="E6" s="5"/>
      <c r="F6" s="5"/>
      <c r="G6" s="5"/>
      <c r="H6" s="5"/>
      <c r="I6" s="6"/>
    </row>
    <row r="7" ht="17.4" spans="2:12">
      <c r="B7" s="5"/>
      <c r="C7" s="5" t="s">
        <v>285</v>
      </c>
      <c r="D7" s="5"/>
      <c r="E7" s="5"/>
      <c r="F7" s="5"/>
      <c r="G7" s="5"/>
      <c r="H7" s="5"/>
      <c r="I7" s="6"/>
    </row>
    <row r="8" ht="21.75" customHeight="1" spans="2:12">
      <c r="B8" s="1"/>
      <c r="C8" s="7"/>
      <c r="D8" s="1"/>
      <c r="E8" s="1"/>
      <c r="F8" s="1"/>
      <c r="G8" s="8"/>
      <c r="H8" s="1"/>
      <c r="I8" s="1"/>
    </row>
    <row r="9" ht="16.5" customHeight="1" spans="2:12">
      <c r="C9" s="1"/>
      <c r="D9" s="1" t="s">
        <v>0</v>
      </c>
      <c r="E9" s="2" t="s">
        <v>1</v>
      </c>
      <c r="F9" s="1"/>
      <c r="G9" s="1"/>
      <c r="H9" s="8"/>
      <c r="I9" s="1"/>
    </row>
    <row r="10" ht="15.6" spans="2:12">
      <c r="C10" s="1"/>
      <c r="D10" s="112" t="s">
        <v>7</v>
      </c>
      <c r="E10" s="112"/>
      <c r="F10" s="113">
        <v>7379.89</v>
      </c>
      <c r="G10" s="2" t="s">
        <v>8</v>
      </c>
      <c r="I10" s="16"/>
      <c r="J10" s="17"/>
      <c r="L10" s="18"/>
    </row>
    <row r="11" ht="15.6" spans="2:12">
      <c r="C11" s="1"/>
      <c r="D11" s="114" t="s">
        <v>9</v>
      </c>
      <c r="E11" s="112"/>
      <c r="F11" s="115">
        <v>1</v>
      </c>
      <c r="H11" s="18"/>
      <c r="I11" s="22"/>
    </row>
    <row r="12" ht="15.6" spans="2:12">
      <c r="C12" s="1"/>
      <c r="D12" s="2" t="s">
        <v>10</v>
      </c>
      <c r="E12" s="2"/>
      <c r="F12" s="113">
        <f>F10</f>
        <v>7379.89</v>
      </c>
      <c r="G12" s="2" t="s">
        <v>11</v>
      </c>
      <c r="H12" s="27"/>
      <c r="I12" s="2"/>
    </row>
    <row r="13" ht="9.75" customHeight="1" spans="2:12">
      <c r="C13" s="1"/>
      <c r="D13" s="2"/>
      <c r="E13" s="2"/>
      <c r="F13" s="2"/>
      <c r="G13" s="2"/>
      <c r="H13" s="2"/>
      <c r="I13" s="2"/>
    </row>
    <row r="14" ht="17.25" customHeight="1" spans="2:12">
      <c r="C14" s="7" t="s">
        <v>118</v>
      </c>
      <c r="D14" s="4" t="s">
        <v>286</v>
      </c>
      <c r="E14" s="2"/>
      <c r="F14" s="2"/>
      <c r="G14" s="2"/>
      <c r="H14" s="2"/>
      <c r="I14" s="2"/>
    </row>
    <row r="15" ht="15" customHeight="1" spans="2:12">
      <c r="C15" s="7"/>
      <c r="D15" s="4" t="s">
        <v>287</v>
      </c>
      <c r="E15" s="2"/>
      <c r="F15" s="2"/>
      <c r="G15" s="2"/>
      <c r="H15" s="2"/>
      <c r="I15" s="2"/>
    </row>
    <row r="16" ht="15" customHeight="1" spans="2:12">
      <c r="C16" s="7"/>
      <c r="D16" s="4" t="s">
        <v>288</v>
      </c>
      <c r="E16" s="2"/>
      <c r="F16" s="2"/>
      <c r="G16" s="2"/>
      <c r="H16" s="2"/>
      <c r="I16" s="2"/>
    </row>
    <row r="17" ht="15" customHeight="1" spans="2:9">
      <c r="C17" s="7"/>
      <c r="D17" s="4"/>
      <c r="E17" s="2"/>
      <c r="F17" s="2"/>
      <c r="G17" s="2"/>
      <c r="H17" s="2"/>
      <c r="I17" s="2"/>
    </row>
    <row r="18" ht="15.6" spans="2:9">
      <c r="C18" s="1"/>
      <c r="D18" s="2" t="s">
        <v>12</v>
      </c>
      <c r="E18" s="2"/>
      <c r="F18" s="2"/>
      <c r="G18" s="2"/>
      <c r="H18" s="170" t="s">
        <v>13</v>
      </c>
      <c r="I18" s="30"/>
    </row>
    <row r="19" ht="15.6" spans="2:9">
      <c r="D19" s="2" t="s">
        <v>289</v>
      </c>
      <c r="E19" s="2"/>
      <c r="F19" s="2"/>
      <c r="G19" s="2"/>
      <c r="H19" s="53">
        <v>465.22</v>
      </c>
      <c r="I19" s="30"/>
    </row>
    <row r="20" ht="15.6" spans="2:9">
      <c r="D20" s="171" t="s">
        <v>290</v>
      </c>
      <c r="E20" s="36"/>
      <c r="F20" s="36"/>
      <c r="G20" s="36"/>
      <c r="H20" s="37"/>
      <c r="I20" s="30"/>
    </row>
    <row r="21" ht="15.6" spans="2:9">
      <c r="D21" s="35"/>
      <c r="E21" s="36"/>
      <c r="F21" s="36"/>
      <c r="G21" s="36"/>
      <c r="H21" s="37"/>
      <c r="I21" s="30"/>
    </row>
    <row r="22" ht="15.6" spans="2:9">
      <c r="D22" s="171" t="s">
        <v>121</v>
      </c>
      <c r="E22" s="36"/>
      <c r="F22" s="36"/>
      <c r="G22" s="36"/>
      <c r="H22" s="37">
        <f>ROUND(+H19*0.5,2)</f>
        <v>232.61</v>
      </c>
      <c r="I22" s="30"/>
    </row>
    <row r="23" ht="15.6" spans="2:9">
      <c r="D23" s="2" t="s">
        <v>291</v>
      </c>
      <c r="E23" s="36"/>
      <c r="F23" s="36"/>
      <c r="G23" s="36"/>
      <c r="H23" s="37">
        <f>ROUND(H22*1.02,2)</f>
        <v>237.26</v>
      </c>
      <c r="I23" s="30"/>
    </row>
    <row r="24" ht="15.6" spans="2:9">
      <c r="D24" s="2" t="s">
        <v>292</v>
      </c>
      <c r="E24" s="36"/>
      <c r="F24" s="36"/>
      <c r="G24" s="36"/>
      <c r="H24" s="37">
        <f t="shared" ref="H24:H25" si="0">ROUND(H23*1.02,2)</f>
        <v>242.01</v>
      </c>
      <c r="I24" s="30"/>
    </row>
    <row r="25" ht="15.6" spans="2:9">
      <c r="D25" s="2" t="s">
        <v>293</v>
      </c>
      <c r="E25" s="36"/>
      <c r="F25" s="36"/>
      <c r="G25" s="36"/>
      <c r="H25" s="37">
        <f t="shared" si="0"/>
        <v>246.85</v>
      </c>
      <c r="I25" s="30"/>
    </row>
    <row r="26" ht="14.25" customHeight="1" spans="2:9">
      <c r="B26" s="1"/>
      <c r="C26" s="2"/>
      <c r="D26" s="2"/>
      <c r="E26" s="2"/>
      <c r="F26" s="2"/>
      <c r="G26" s="48"/>
      <c r="H26" s="49"/>
      <c r="I26" s="2"/>
    </row>
    <row r="27" ht="15.6" spans="2:9">
      <c r="B27" s="1"/>
      <c r="C27" s="2" t="s">
        <v>294</v>
      </c>
      <c r="D27" s="2"/>
      <c r="E27" s="2"/>
      <c r="F27" s="2"/>
      <c r="G27" s="53">
        <v>6.61</v>
      </c>
      <c r="H27" s="54" t="s">
        <v>6</v>
      </c>
      <c r="I27" s="2"/>
    </row>
    <row r="28" ht="15.6" spans="2:9">
      <c r="B28" s="1"/>
      <c r="C28" s="2"/>
      <c r="D28" s="2"/>
      <c r="E28" s="2"/>
      <c r="F28" s="2"/>
      <c r="G28" s="53"/>
      <c r="H28" s="54"/>
      <c r="I28" s="2"/>
    </row>
    <row r="29" ht="15.6" spans="2:9">
      <c r="B29" s="1"/>
      <c r="D29" s="2"/>
      <c r="E29" s="58" t="s">
        <v>17</v>
      </c>
      <c r="F29" s="58" t="s">
        <v>18</v>
      </c>
      <c r="G29" s="58" t="s">
        <v>19</v>
      </c>
    </row>
    <row r="30" ht="15.6" spans="2:9">
      <c r="B30" s="1"/>
      <c r="C30" s="2" t="s">
        <v>20</v>
      </c>
      <c r="D30" s="2"/>
      <c r="E30" s="62">
        <f>+F12</f>
        <v>7379.89</v>
      </c>
      <c r="F30" s="62">
        <f>H25</f>
        <v>246.85</v>
      </c>
      <c r="G30" s="62">
        <f>+E30*F30</f>
        <v>1821725.8465</v>
      </c>
    </row>
    <row r="31" ht="14.25" customHeight="1" spans="2:9">
      <c r="B31" s="1"/>
      <c r="C31" s="2" t="s">
        <v>295</v>
      </c>
      <c r="D31" s="2"/>
      <c r="E31" s="2"/>
      <c r="F31" s="2"/>
      <c r="G31" s="30"/>
      <c r="H31" s="30"/>
      <c r="I31" s="30"/>
    </row>
    <row r="32" ht="15.6" spans="2:9">
      <c r="B32" s="1"/>
      <c r="G32" s="30"/>
      <c r="H32" s="30"/>
      <c r="I32" s="30"/>
    </row>
    <row r="33" ht="15.6" spans="2:13">
      <c r="B33" s="1"/>
      <c r="C33" t="s">
        <v>123</v>
      </c>
      <c r="G33" s="30">
        <f>G30</f>
        <v>1821725.8465</v>
      </c>
      <c r="H33" s="172" t="s">
        <v>23</v>
      </c>
      <c r="I33" s="30"/>
    </row>
    <row r="34" ht="15.6" spans="2:13">
      <c r="B34" s="1"/>
      <c r="C34" t="s">
        <v>124</v>
      </c>
      <c r="G34" s="30">
        <f t="shared" ref="G34" si="1">+G33*1.02</f>
        <v>1858160.36343</v>
      </c>
      <c r="H34" s="172" t="s">
        <v>23</v>
      </c>
      <c r="I34" s="30"/>
    </row>
    <row r="35" ht="15.6" spans="2:13">
      <c r="B35" s="1"/>
      <c r="G35" s="30"/>
      <c r="H35" s="30"/>
      <c r="I35" s="30"/>
    </row>
    <row r="36" ht="18" spans="2:13">
      <c r="B36" s="1"/>
      <c r="C36" s="64" t="s">
        <v>25</v>
      </c>
      <c r="D36" s="65"/>
      <c r="E36" s="65" t="s">
        <v>26</v>
      </c>
      <c r="F36" s="65"/>
      <c r="G36" s="30">
        <f>G33*9+G34*3</f>
        <v>21970013.70879</v>
      </c>
      <c r="H36" s="66"/>
    </row>
    <row r="37" ht="13.5" customHeight="1" spans="2:13">
      <c r="B37" s="1"/>
      <c r="C37" s="2"/>
      <c r="D37" s="2"/>
      <c r="E37" s="2"/>
      <c r="F37" s="2"/>
      <c r="G37" s="2"/>
      <c r="H37" s="2"/>
      <c r="I37" s="2"/>
    </row>
    <row r="38" ht="42.75" customHeight="1" spans="2:13">
      <c r="B38" s="1"/>
      <c r="C38" s="67" t="s">
        <v>27</v>
      </c>
      <c r="D38" s="67" t="s">
        <v>28</v>
      </c>
      <c r="E38" s="67"/>
      <c r="F38" s="71" t="s">
        <v>29</v>
      </c>
      <c r="G38" s="71" t="s">
        <v>30</v>
      </c>
      <c r="H38" s="72" t="s">
        <v>31</v>
      </c>
      <c r="I38" s="73" t="s">
        <v>32</v>
      </c>
      <c r="J38" s="74" t="s">
        <v>33</v>
      </c>
    </row>
    <row r="39" ht="15.6" spans="2:13">
      <c r="B39" s="1"/>
      <c r="C39" s="75"/>
      <c r="D39" s="75"/>
      <c r="E39" s="75"/>
      <c r="F39" s="78" t="s">
        <v>296</v>
      </c>
      <c r="G39" s="78" t="s">
        <v>297</v>
      </c>
      <c r="H39" s="79"/>
      <c r="I39" s="80">
        <f>G27</f>
        <v>6.61</v>
      </c>
      <c r="J39" s="81"/>
    </row>
    <row r="40" ht="15.6" spans="2:13">
      <c r="B40" s="1"/>
      <c r="C40" s="173" t="s">
        <v>36</v>
      </c>
      <c r="D40" s="117"/>
      <c r="E40" s="174" t="s">
        <v>37</v>
      </c>
      <c r="F40" s="175" t="s">
        <v>38</v>
      </c>
      <c r="G40" s="175" t="s">
        <v>39</v>
      </c>
      <c r="H40" s="175" t="s">
        <v>40</v>
      </c>
      <c r="I40" s="176" t="s">
        <v>41</v>
      </c>
      <c r="J40" s="176" t="s">
        <v>42</v>
      </c>
      <c r="M40" s="66"/>
    </row>
    <row r="41" ht="15.6" spans="2:13">
      <c r="B41" s="1"/>
      <c r="C41" s="87">
        <v>1</v>
      </c>
      <c r="D41" s="177" t="s">
        <v>47</v>
      </c>
      <c r="E41" s="55" t="s">
        <v>48</v>
      </c>
      <c r="F41" s="90">
        <f>+G33</f>
        <v>1821725.8465</v>
      </c>
      <c r="G41" s="91">
        <f>+G34</f>
        <v>1858160.36343</v>
      </c>
      <c r="H41" s="92">
        <f>(F41*9)+(G41*3)</f>
        <v>21970013.70879</v>
      </c>
      <c r="I41" s="93">
        <v>1</v>
      </c>
      <c r="J41" s="94">
        <f t="shared" ref="J41:J70" si="2">+H41*I41</f>
        <v>21970013.70879</v>
      </c>
      <c r="M41" s="66"/>
    </row>
    <row r="42" ht="15.6" spans="2:13">
      <c r="B42" s="1"/>
      <c r="C42" s="87">
        <v>2</v>
      </c>
      <c r="D42" s="177" t="s">
        <v>49</v>
      </c>
      <c r="E42" s="55" t="s">
        <v>50</v>
      </c>
      <c r="F42" s="90">
        <f>+G41</f>
        <v>1858160.36343</v>
      </c>
      <c r="G42" s="95">
        <f>F42*1.02</f>
        <v>1895323.5706986</v>
      </c>
      <c r="H42" s="92">
        <f t="shared" ref="H42:H70" si="3">(F42*9)+(G42*3)</f>
        <v>22409413.9829658</v>
      </c>
      <c r="I42" s="96">
        <f t="shared" ref="I42:I70" si="4">1/(1+(0.01*$G$27))^(C42-1)</f>
        <v>0.937998311603039</v>
      </c>
      <c r="J42" s="94">
        <f t="shared" si="2"/>
        <v>21019992.4800355</v>
      </c>
      <c r="M42" s="66"/>
    </row>
    <row r="43" ht="15.6" spans="2:13">
      <c r="B43" s="1"/>
      <c r="C43" s="87">
        <v>3</v>
      </c>
      <c r="D43" s="177" t="s">
        <v>51</v>
      </c>
      <c r="E43" s="55" t="s">
        <v>52</v>
      </c>
      <c r="F43" s="90">
        <f t="shared" ref="F43:F70" si="5">+G42</f>
        <v>1895323.5706986</v>
      </c>
      <c r="G43" s="95">
        <f t="shared" ref="G43:G70" si="6">F43*1.02</f>
        <v>1933230.04211257</v>
      </c>
      <c r="H43" s="92">
        <f t="shared" si="3"/>
        <v>22857602.2626251</v>
      </c>
      <c r="I43" s="96">
        <f t="shared" si="4"/>
        <v>0.879840832570152</v>
      </c>
      <c r="J43" s="94">
        <f t="shared" si="2"/>
        <v>20111051.8053055</v>
      </c>
      <c r="M43" s="66"/>
    </row>
    <row r="44" ht="15.6" spans="2:13">
      <c r="B44" s="1"/>
      <c r="C44" s="87">
        <v>4</v>
      </c>
      <c r="D44" s="177" t="s">
        <v>53</v>
      </c>
      <c r="E44" s="55" t="s">
        <v>54</v>
      </c>
      <c r="F44" s="90">
        <f t="shared" si="5"/>
        <v>1933230.04211257</v>
      </c>
      <c r="G44" s="95">
        <f t="shared" si="6"/>
        <v>1971894.64295482</v>
      </c>
      <c r="H44" s="92">
        <f t="shared" si="3"/>
        <v>23314754.3078776</v>
      </c>
      <c r="I44" s="96">
        <f t="shared" si="4"/>
        <v>0.825289215430215</v>
      </c>
      <c r="J44" s="94">
        <f t="shared" si="2"/>
        <v>19241415.2906965</v>
      </c>
      <c r="M44" s="66"/>
    </row>
    <row r="45" ht="15.6" spans="2:13">
      <c r="B45" s="1"/>
      <c r="C45" s="87">
        <v>5</v>
      </c>
      <c r="D45" s="177" t="s">
        <v>55</v>
      </c>
      <c r="E45" s="55" t="s">
        <v>56</v>
      </c>
      <c r="F45" s="90">
        <f t="shared" si="5"/>
        <v>1971894.64295482</v>
      </c>
      <c r="G45" s="95">
        <f t="shared" si="6"/>
        <v>2011332.53581392</v>
      </c>
      <c r="H45" s="92">
        <f t="shared" si="3"/>
        <v>23781049.3940352</v>
      </c>
      <c r="I45" s="96">
        <f t="shared" si="4"/>
        <v>0.774119890657738</v>
      </c>
      <c r="J45" s="94">
        <f t="shared" si="2"/>
        <v>18409383.3566368</v>
      </c>
      <c r="M45" s="66"/>
    </row>
    <row r="46" ht="15.6" spans="2:13">
      <c r="B46" s="1"/>
      <c r="C46" s="87">
        <v>6</v>
      </c>
      <c r="D46" s="177" t="s">
        <v>57</v>
      </c>
      <c r="E46" s="55" t="s">
        <v>58</v>
      </c>
      <c r="F46" s="90">
        <f t="shared" si="5"/>
        <v>2011332.53581392</v>
      </c>
      <c r="G46" s="95">
        <f t="shared" si="6"/>
        <v>2051559.1865302</v>
      </c>
      <c r="H46" s="92">
        <f t="shared" si="3"/>
        <v>24256670.3819159</v>
      </c>
      <c r="I46" s="96">
        <f t="shared" si="4"/>
        <v>0.726123150415288</v>
      </c>
      <c r="J46" s="94">
        <f t="shared" si="2"/>
        <v>17613329.916302</v>
      </c>
      <c r="M46" s="66"/>
    </row>
    <row r="47" ht="15.6" spans="2:13">
      <c r="B47" s="1"/>
      <c r="C47" s="87">
        <v>7</v>
      </c>
      <c r="D47" s="177" t="s">
        <v>59</v>
      </c>
      <c r="E47" s="55" t="s">
        <v>60</v>
      </c>
      <c r="F47" s="90">
        <f t="shared" si="5"/>
        <v>2051559.1865302</v>
      </c>
      <c r="G47" s="95">
        <f t="shared" si="6"/>
        <v>2092590.3702608</v>
      </c>
      <c r="H47" s="92">
        <f t="shared" si="3"/>
        <v>24741803.7895542</v>
      </c>
      <c r="I47" s="96">
        <f t="shared" si="4"/>
        <v>0.681102289105419</v>
      </c>
      <c r="J47" s="94">
        <f t="shared" si="2"/>
        <v>16851699.1976625</v>
      </c>
      <c r="M47" s="66"/>
    </row>
    <row r="48" ht="15.6" spans="2:13">
      <c r="B48" s="8"/>
      <c r="C48" s="87">
        <v>8</v>
      </c>
      <c r="D48" s="177" t="s">
        <v>61</v>
      </c>
      <c r="E48" s="55" t="s">
        <v>62</v>
      </c>
      <c r="F48" s="90">
        <f t="shared" si="5"/>
        <v>2092590.3702608</v>
      </c>
      <c r="G48" s="95">
        <f t="shared" si="6"/>
        <v>2134442.17766602</v>
      </c>
      <c r="H48" s="92">
        <f t="shared" si="3"/>
        <v>25236639.8653453</v>
      </c>
      <c r="I48" s="96">
        <f t="shared" si="4"/>
        <v>0.638872797209848</v>
      </c>
      <c r="J48" s="94">
        <f t="shared" si="2"/>
        <v>16123002.7029507</v>
      </c>
      <c r="M48" s="66"/>
    </row>
    <row r="49" ht="15.6" spans="2:13">
      <c r="B49" s="1"/>
      <c r="C49" s="87">
        <v>9</v>
      </c>
      <c r="D49" s="177" t="s">
        <v>63</v>
      </c>
      <c r="E49" s="55" t="s">
        <v>64</v>
      </c>
      <c r="F49" s="90">
        <f t="shared" si="5"/>
        <v>2134442.17766602</v>
      </c>
      <c r="G49" s="95">
        <f t="shared" si="6"/>
        <v>2177131.02121934</v>
      </c>
      <c r="H49" s="92">
        <f t="shared" si="3"/>
        <v>25741372.6626522</v>
      </c>
      <c r="I49" s="96">
        <f t="shared" si="4"/>
        <v>0.599261605111948</v>
      </c>
      <c r="J49" s="94">
        <f t="shared" si="2"/>
        <v>15425816.2996058</v>
      </c>
      <c r="M49" s="66"/>
    </row>
    <row r="50" ht="15.6" spans="2:13">
      <c r="B50" s="1"/>
      <c r="C50" s="87">
        <v>10</v>
      </c>
      <c r="D50" s="177" t="s">
        <v>65</v>
      </c>
      <c r="E50" s="55" t="s">
        <v>66</v>
      </c>
      <c r="F50" s="90">
        <f t="shared" si="5"/>
        <v>2177131.02121934</v>
      </c>
      <c r="G50" s="95">
        <f t="shared" si="6"/>
        <v>2220673.64164373</v>
      </c>
      <c r="H50" s="92">
        <f t="shared" si="3"/>
        <v>26256200.1159052</v>
      </c>
      <c r="I50" s="96">
        <f t="shared" si="4"/>
        <v>0.562106373803535</v>
      </c>
      <c r="J50" s="94">
        <f t="shared" si="2"/>
        <v>14758777.4370114</v>
      </c>
      <c r="M50" s="66"/>
    </row>
    <row r="51" ht="15.6" spans="2:13">
      <c r="B51" s="1"/>
      <c r="C51" s="87">
        <v>11</v>
      </c>
      <c r="D51" s="177" t="s">
        <v>67</v>
      </c>
      <c r="E51" s="55" t="s">
        <v>68</v>
      </c>
      <c r="F51" s="90">
        <f t="shared" si="5"/>
        <v>2220673.64164373</v>
      </c>
      <c r="G51" s="95">
        <f t="shared" si="6"/>
        <v>2265087.1144766</v>
      </c>
      <c r="H51" s="92">
        <f t="shared" si="3"/>
        <v>26781324.1182233</v>
      </c>
      <c r="I51" s="96">
        <f t="shared" si="4"/>
        <v>0.527254829569022</v>
      </c>
      <c r="J51" s="94">
        <f t="shared" si="2"/>
        <v>14120582.4835866</v>
      </c>
      <c r="M51" s="66"/>
    </row>
    <row r="52" ht="15.6" spans="2:13">
      <c r="B52" s="1"/>
      <c r="C52" s="87">
        <v>12</v>
      </c>
      <c r="D52" s="177" t="s">
        <v>69</v>
      </c>
      <c r="E52" s="55" t="s">
        <v>70</v>
      </c>
      <c r="F52" s="90">
        <f t="shared" si="5"/>
        <v>2265087.1144766</v>
      </c>
      <c r="G52" s="95">
        <f t="shared" si="6"/>
        <v>2310388.85676613</v>
      </c>
      <c r="H52" s="92">
        <f t="shared" si="3"/>
        <v>27316950.6005878</v>
      </c>
      <c r="I52" s="96">
        <f t="shared" si="4"/>
        <v>0.494564139920291</v>
      </c>
      <c r="J52" s="94">
        <f t="shared" si="2"/>
        <v>13509984.1790248</v>
      </c>
      <c r="M52" s="66"/>
    </row>
    <row r="53" ht="15.6" spans="2:13">
      <c r="B53" s="1"/>
      <c r="C53" s="87">
        <v>13</v>
      </c>
      <c r="D53" s="177" t="s">
        <v>71</v>
      </c>
      <c r="E53" s="55" t="s">
        <v>72</v>
      </c>
      <c r="F53" s="90">
        <f t="shared" si="5"/>
        <v>2310388.85676613</v>
      </c>
      <c r="G53" s="95">
        <f t="shared" si="6"/>
        <v>2356596.63390145</v>
      </c>
      <c r="H53" s="92">
        <f t="shared" si="3"/>
        <v>27863289.6125996</v>
      </c>
      <c r="I53" s="96">
        <f t="shared" si="4"/>
        <v>0.463900328224642</v>
      </c>
      <c r="J53" s="94">
        <f t="shared" si="2"/>
        <v>12925789.1967032</v>
      </c>
      <c r="M53" s="66"/>
    </row>
    <row r="54" ht="15.6" spans="2:13">
      <c r="B54" s="1"/>
      <c r="C54" s="87">
        <v>14</v>
      </c>
      <c r="D54" s="177" t="s">
        <v>73</v>
      </c>
      <c r="E54" s="55" t="s">
        <v>74</v>
      </c>
      <c r="F54" s="90">
        <f t="shared" si="5"/>
        <v>2356596.63390145</v>
      </c>
      <c r="G54" s="95">
        <f t="shared" si="6"/>
        <v>2403728.56657948</v>
      </c>
      <c r="H54" s="92">
        <f t="shared" si="3"/>
        <v>28420555.4048515</v>
      </c>
      <c r="I54" s="96">
        <f t="shared" si="4"/>
        <v>0.43513772462681</v>
      </c>
      <c r="J54" s="94">
        <f t="shared" si="2"/>
        <v>12366855.8114973</v>
      </c>
      <c r="M54" s="66"/>
    </row>
    <row r="55" ht="15.6" spans="2:13">
      <c r="B55" s="1"/>
      <c r="C55" s="87">
        <v>15</v>
      </c>
      <c r="D55" s="177" t="s">
        <v>75</v>
      </c>
      <c r="E55" s="55" t="s">
        <v>76</v>
      </c>
      <c r="F55" s="90">
        <f t="shared" si="5"/>
        <v>2403728.56657948</v>
      </c>
      <c r="G55" s="95">
        <f t="shared" si="6"/>
        <v>2451803.13791107</v>
      </c>
      <c r="H55" s="92">
        <f t="shared" si="3"/>
        <v>28988966.5129486</v>
      </c>
      <c r="I55" s="96">
        <f t="shared" si="4"/>
        <v>0.408158451014736</v>
      </c>
      <c r="J55" s="94">
        <f t="shared" si="2"/>
        <v>11832091.6684431</v>
      </c>
      <c r="M55" s="66"/>
    </row>
    <row r="56" ht="15.6" spans="2:13">
      <c r="B56" s="1"/>
      <c r="C56" s="87">
        <v>16</v>
      </c>
      <c r="D56" s="177" t="s">
        <v>77</v>
      </c>
      <c r="E56" s="55" t="s">
        <v>78</v>
      </c>
      <c r="F56" s="90">
        <f t="shared" si="5"/>
        <v>2451803.13791107</v>
      </c>
      <c r="G56" s="95">
        <f t="shared" si="6"/>
        <v>2500839.2006693</v>
      </c>
      <c r="H56" s="92">
        <f t="shared" si="3"/>
        <v>29568745.8432075</v>
      </c>
      <c r="I56" s="96">
        <f t="shared" si="4"/>
        <v>0.382851937918334</v>
      </c>
      <c r="J56" s="94">
        <f t="shared" si="2"/>
        <v>11320451.6478867</v>
      </c>
      <c r="M56" s="66"/>
    </row>
    <row r="57" ht="15.6" spans="2:13">
      <c r="B57" s="1"/>
      <c r="C57" s="87">
        <v>17</v>
      </c>
      <c r="D57" s="177" t="s">
        <v>79</v>
      </c>
      <c r="E57" s="55" t="s">
        <v>80</v>
      </c>
      <c r="F57" s="90">
        <f t="shared" si="5"/>
        <v>2500839.2006693</v>
      </c>
      <c r="G57" s="95">
        <f t="shared" si="6"/>
        <v>2550855.98468268</v>
      </c>
      <c r="H57" s="92">
        <f t="shared" si="3"/>
        <v>30160120.7600717</v>
      </c>
      <c r="I57" s="96">
        <f t="shared" si="4"/>
        <v>0.359114471361349</v>
      </c>
      <c r="J57" s="94">
        <f t="shared" si="2"/>
        <v>10830935.8229476</v>
      </c>
      <c r="M57" s="66"/>
    </row>
    <row r="58" ht="15.6" spans="2:13">
      <c r="B58" s="1"/>
      <c r="C58" s="87">
        <v>18</v>
      </c>
      <c r="D58" s="177" t="s">
        <v>81</v>
      </c>
      <c r="E58" s="55" t="s">
        <v>82</v>
      </c>
      <c r="F58" s="90">
        <f t="shared" si="5"/>
        <v>2550855.98468268</v>
      </c>
      <c r="G58" s="95">
        <f t="shared" si="6"/>
        <v>2601873.10437633</v>
      </c>
      <c r="H58" s="92">
        <f t="shared" si="3"/>
        <v>30763323.1752731</v>
      </c>
      <c r="I58" s="96">
        <f t="shared" si="4"/>
        <v>0.336848767809163</v>
      </c>
      <c r="J58" s="94">
        <f t="shared" si="2"/>
        <v>10362587.5053058</v>
      </c>
      <c r="M58" s="66"/>
    </row>
    <row r="59" ht="15.6" spans="2:13">
      <c r="B59" s="1"/>
      <c r="C59" s="87">
        <v>19</v>
      </c>
      <c r="D59" s="177" t="s">
        <v>83</v>
      </c>
      <c r="E59" s="55" t="s">
        <v>84</v>
      </c>
      <c r="F59" s="90">
        <f t="shared" si="5"/>
        <v>2601873.10437633</v>
      </c>
      <c r="G59" s="95">
        <f t="shared" si="6"/>
        <v>2653910.56646386</v>
      </c>
      <c r="H59" s="92">
        <f t="shared" si="3"/>
        <v>31378589.6387786</v>
      </c>
      <c r="I59" s="96">
        <f t="shared" si="4"/>
        <v>0.315963575470559</v>
      </c>
      <c r="J59" s="94">
        <f t="shared" si="2"/>
        <v>9914491.37549193</v>
      </c>
      <c r="M59" s="66"/>
    </row>
    <row r="60" ht="15.6" spans="2:13">
      <c r="B60" s="1"/>
      <c r="C60" s="87">
        <v>20</v>
      </c>
      <c r="D60" s="177" t="s">
        <v>85</v>
      </c>
      <c r="E60" s="55" t="s">
        <v>86</v>
      </c>
      <c r="F60" s="90">
        <f t="shared" si="5"/>
        <v>2653910.56646386</v>
      </c>
      <c r="G60" s="95">
        <f t="shared" si="6"/>
        <v>2706988.77779314</v>
      </c>
      <c r="H60" s="92">
        <f t="shared" si="3"/>
        <v>32006161.4315542</v>
      </c>
      <c r="I60" s="96">
        <f t="shared" si="4"/>
        <v>0.296373300319444</v>
      </c>
      <c r="J60" s="94">
        <f t="shared" si="2"/>
        <v>9485771.69402661</v>
      </c>
      <c r="M60" s="66"/>
    </row>
    <row r="61" ht="15.6" spans="2:13">
      <c r="B61" s="1"/>
      <c r="C61" s="87">
        <v>21</v>
      </c>
      <c r="D61" s="177" t="s">
        <v>87</v>
      </c>
      <c r="E61" s="55" t="s">
        <v>88</v>
      </c>
      <c r="F61" s="90">
        <f t="shared" si="5"/>
        <v>2706988.77779314</v>
      </c>
      <c r="G61" s="95">
        <f t="shared" si="6"/>
        <v>2761128.553349</v>
      </c>
      <c r="H61" s="92">
        <f t="shared" si="3"/>
        <v>32646284.6601853</v>
      </c>
      <c r="I61" s="96">
        <f t="shared" si="4"/>
        <v>0.277997655303859</v>
      </c>
      <c r="J61" s="94">
        <f t="shared" si="2"/>
        <v>9075590.58991384</v>
      </c>
      <c r="M61" s="66"/>
    </row>
    <row r="62" ht="15.6" spans="2:13">
      <c r="B62" s="1"/>
      <c r="C62" s="87">
        <v>22</v>
      </c>
      <c r="D62" s="177" t="s">
        <v>89</v>
      </c>
      <c r="E62" s="55" t="s">
        <v>90</v>
      </c>
      <c r="F62" s="90">
        <f t="shared" si="5"/>
        <v>2761128.553349</v>
      </c>
      <c r="G62" s="95">
        <f t="shared" si="6"/>
        <v>2816351.12441598</v>
      </c>
      <c r="H62" s="92">
        <f t="shared" si="3"/>
        <v>33299210.353389</v>
      </c>
      <c r="I62" s="96">
        <f t="shared" si="4"/>
        <v>0.260761331304623</v>
      </c>
      <c r="J62" s="94">
        <f t="shared" si="2"/>
        <v>8683146.4231424</v>
      </c>
      <c r="M62" s="66"/>
    </row>
    <row r="63" ht="15.6" spans="2:13">
      <c r="B63" s="1"/>
      <c r="C63" s="87">
        <v>23</v>
      </c>
      <c r="D63" s="177" t="s">
        <v>91</v>
      </c>
      <c r="E63" s="55" t="s">
        <v>92</v>
      </c>
      <c r="F63" s="90">
        <f t="shared" si="5"/>
        <v>2816351.12441598</v>
      </c>
      <c r="G63" s="95">
        <f t="shared" si="6"/>
        <v>2872678.1469043</v>
      </c>
      <c r="H63" s="92">
        <f t="shared" si="3"/>
        <v>33965194.5604567</v>
      </c>
      <c r="I63" s="96">
        <f t="shared" si="4"/>
        <v>0.244593688495097</v>
      </c>
      <c r="J63" s="94">
        <f t="shared" si="2"/>
        <v>8307672.21799573</v>
      </c>
      <c r="M63" s="66"/>
    </row>
    <row r="64" ht="15.6" spans="2:13">
      <c r="B64" s="1"/>
      <c r="C64" s="87">
        <v>24</v>
      </c>
      <c r="D64" s="177" t="s">
        <v>93</v>
      </c>
      <c r="E64" s="55" t="s">
        <v>94</v>
      </c>
      <c r="F64" s="90">
        <f t="shared" si="5"/>
        <v>2872678.1469043</v>
      </c>
      <c r="G64" s="95">
        <f t="shared" si="6"/>
        <v>2930131.70984239</v>
      </c>
      <c r="H64" s="92">
        <f t="shared" si="3"/>
        <v>34644498.4516659</v>
      </c>
      <c r="I64" s="96">
        <f t="shared" si="4"/>
        <v>0.229428466837161</v>
      </c>
      <c r="J64" s="94">
        <f t="shared" si="2"/>
        <v>7948434.1641081</v>
      </c>
      <c r="M64" s="66"/>
    </row>
    <row r="65" ht="15.6" spans="2:13">
      <c r="B65" s="1"/>
      <c r="C65" s="87">
        <v>25</v>
      </c>
      <c r="D65" s="177" t="s">
        <v>95</v>
      </c>
      <c r="E65" s="55" t="s">
        <v>96</v>
      </c>
      <c r="F65" s="90">
        <f t="shared" si="5"/>
        <v>2930131.70984239</v>
      </c>
      <c r="G65" s="95">
        <f t="shared" si="6"/>
        <v>2988734.34403924</v>
      </c>
      <c r="H65" s="92">
        <f t="shared" si="3"/>
        <v>35337388.4206992</v>
      </c>
      <c r="I65" s="96">
        <f t="shared" si="4"/>
        <v>0.215203514526931</v>
      </c>
      <c r="J65" s="94">
        <f t="shared" si="2"/>
        <v>7604730.18233774</v>
      </c>
      <c r="M65" s="66"/>
    </row>
    <row r="66" ht="15.6" spans="2:13">
      <c r="B66" s="1"/>
      <c r="C66" s="87">
        <v>26</v>
      </c>
      <c r="D66" s="177" t="s">
        <v>97</v>
      </c>
      <c r="E66" s="55" t="s">
        <v>98</v>
      </c>
      <c r="F66" s="90">
        <f t="shared" si="5"/>
        <v>2988734.34403924</v>
      </c>
      <c r="G66" s="95">
        <f t="shared" si="6"/>
        <v>3048509.03092002</v>
      </c>
      <c r="H66" s="92">
        <f t="shared" si="3"/>
        <v>36044136.1891132</v>
      </c>
      <c r="I66" s="96">
        <f t="shared" si="4"/>
        <v>0.201860533277301</v>
      </c>
      <c r="J66" s="94">
        <f t="shared" si="2"/>
        <v>7275888.55265406</v>
      </c>
      <c r="M66" s="66"/>
    </row>
    <row r="67" ht="15.6" spans="2:13">
      <c r="B67" s="1"/>
      <c r="C67" s="87">
        <v>27</v>
      </c>
      <c r="D67" s="177" t="s">
        <v>99</v>
      </c>
      <c r="E67" s="55" t="s">
        <v>100</v>
      </c>
      <c r="F67" s="90">
        <f t="shared" si="5"/>
        <v>3048509.03092002</v>
      </c>
      <c r="G67" s="95">
        <f t="shared" si="6"/>
        <v>3109479.21153842</v>
      </c>
      <c r="H67" s="92">
        <f t="shared" si="3"/>
        <v>36765018.9128954</v>
      </c>
      <c r="I67" s="96">
        <f t="shared" si="4"/>
        <v>0.189344839393398</v>
      </c>
      <c r="J67" s="94">
        <f t="shared" si="2"/>
        <v>6961266.60135742</v>
      </c>
      <c r="M67" s="66"/>
    </row>
    <row r="68" ht="15.6" spans="2:13">
      <c r="B68" s="1"/>
      <c r="C68" s="87">
        <v>28</v>
      </c>
      <c r="D68" s="177" t="s">
        <v>101</v>
      </c>
      <c r="E68" s="55" t="s">
        <v>102</v>
      </c>
      <c r="F68" s="90">
        <f t="shared" si="5"/>
        <v>3109479.21153842</v>
      </c>
      <c r="G68" s="95">
        <f t="shared" si="6"/>
        <v>3171668.79576919</v>
      </c>
      <c r="H68" s="92">
        <f t="shared" si="3"/>
        <v>37500319.2911534</v>
      </c>
      <c r="I68" s="96">
        <f t="shared" si="4"/>
        <v>0.177605139661756</v>
      </c>
      <c r="J68" s="94">
        <f t="shared" si="2"/>
        <v>6660249.44506572</v>
      </c>
      <c r="M68" s="66"/>
    </row>
    <row r="69" ht="15.6" spans="2:13">
      <c r="B69" s="1"/>
      <c r="C69" s="87">
        <v>29</v>
      </c>
      <c r="D69" s="177" t="s">
        <v>298</v>
      </c>
      <c r="E69" s="55" t="s">
        <v>299</v>
      </c>
      <c r="F69" s="90">
        <f t="shared" si="5"/>
        <v>3171668.79576919</v>
      </c>
      <c r="G69" s="95">
        <f t="shared" si="6"/>
        <v>3235102.17168457</v>
      </c>
      <c r="H69" s="92">
        <f t="shared" si="3"/>
        <v>38250325.6769764</v>
      </c>
      <c r="I69" s="96">
        <f t="shared" si="4"/>
        <v>0.166593321134749</v>
      </c>
      <c r="J69" s="94">
        <f t="shared" si="2"/>
        <v>6372248.78901326</v>
      </c>
      <c r="M69" s="66"/>
    </row>
    <row r="70" ht="15.6" spans="2:13">
      <c r="B70" s="1"/>
      <c r="C70" s="118">
        <v>30</v>
      </c>
      <c r="D70" s="177" t="s">
        <v>300</v>
      </c>
      <c r="E70" s="55" t="s">
        <v>301</v>
      </c>
      <c r="F70" s="119">
        <f t="shared" si="5"/>
        <v>3235102.17168457</v>
      </c>
      <c r="G70" s="95">
        <f t="shared" si="6"/>
        <v>3299804.21511826</v>
      </c>
      <c r="H70" s="92">
        <f t="shared" si="3"/>
        <v>39015332.190516</v>
      </c>
      <c r="I70" s="120">
        <f t="shared" si="4"/>
        <v>0.156264253948737</v>
      </c>
      <c r="J70" s="94">
        <f t="shared" si="2"/>
        <v>6096701.77731313</v>
      </c>
      <c r="M70" s="66"/>
    </row>
    <row r="71" ht="16.35" spans="2:13">
      <c r="C71" s="87"/>
      <c r="D71" s="55"/>
      <c r="E71" s="55"/>
      <c r="F71" s="90"/>
      <c r="G71" s="95"/>
      <c r="H71" s="92"/>
      <c r="I71" s="96"/>
      <c r="J71" s="94"/>
    </row>
    <row r="72" ht="18.75" spans="2:13">
      <c r="C72" s="121"/>
      <c r="D72" s="122"/>
      <c r="E72" s="122"/>
      <c r="F72" s="123" t="s">
        <v>103</v>
      </c>
      <c r="G72" s="102"/>
      <c r="H72" s="124"/>
      <c r="I72" s="125"/>
      <c r="J72" s="105">
        <f>+SUM(J41:J70)</f>
        <v>373179952.322812</v>
      </c>
      <c r="K72" s="106" t="s">
        <v>188</v>
      </c>
      <c r="L72" s="106" t="s">
        <v>104</v>
      </c>
    </row>
    <row r="73" ht="15.6" spans="2:13">
      <c r="C73" s="1"/>
      <c r="D73" s="1"/>
      <c r="E73" s="1"/>
      <c r="H73" s="1"/>
      <c r="I73" s="1"/>
      <c r="J73" s="30">
        <f>+J72/10000000</f>
        <v>37.3179952322812</v>
      </c>
      <c r="K73" s="1" t="s">
        <v>105</v>
      </c>
      <c r="L73" s="106" t="s">
        <v>104</v>
      </c>
    </row>
    <row r="74" spans="2:13">
      <c r="D74" s="126"/>
      <c r="E74" s="127" t="s">
        <v>280</v>
      </c>
      <c r="F74" s="127"/>
      <c r="G74" s="127"/>
      <c r="H74" s="127"/>
      <c r="I74" s="127"/>
      <c r="J74" s="128"/>
      <c r="K74" s="126"/>
    </row>
    <row r="75" ht="15.6" spans="2:13">
      <c r="D75" s="126">
        <v>1</v>
      </c>
      <c r="E75" s="129" t="s">
        <v>302</v>
      </c>
      <c r="F75" s="130"/>
      <c r="G75" s="130"/>
      <c r="H75" s="130"/>
      <c r="I75" s="130"/>
      <c r="J75" s="128">
        <v>2793.94</v>
      </c>
      <c r="K75" s="126" t="s">
        <v>11</v>
      </c>
      <c r="L75" s="106" t="s">
        <v>104</v>
      </c>
    </row>
    <row r="76" ht="15.6" spans="2:13">
      <c r="D76" s="126">
        <v>2</v>
      </c>
      <c r="E76" s="131" t="s">
        <v>303</v>
      </c>
      <c r="F76" s="131"/>
      <c r="G76" s="131"/>
      <c r="H76" s="131"/>
      <c r="I76" s="131"/>
      <c r="J76" s="131" t="s">
        <v>192</v>
      </c>
      <c r="K76" s="1"/>
    </row>
    <row r="77" ht="15.6" spans="2:13">
      <c r="D77" s="126">
        <v>3</v>
      </c>
      <c r="E77" s="132" t="s">
        <v>193</v>
      </c>
      <c r="F77" s="132"/>
      <c r="G77" s="132"/>
      <c r="H77" s="132"/>
      <c r="I77" s="132"/>
      <c r="J77" s="133">
        <v>56</v>
      </c>
      <c r="K77" s="1"/>
    </row>
    <row r="78" ht="15.6" spans="2:13">
      <c r="D78" s="126">
        <v>4</v>
      </c>
      <c r="E78" s="134" t="s">
        <v>195</v>
      </c>
      <c r="F78" s="134"/>
      <c r="G78" s="134"/>
      <c r="H78" s="134"/>
      <c r="I78" s="134"/>
      <c r="J78" s="133">
        <v>30250</v>
      </c>
      <c r="K78" s="1"/>
    </row>
    <row r="79" ht="15.6" spans="2:13">
      <c r="D79" s="126">
        <v>5</v>
      </c>
      <c r="E79" s="135" t="s">
        <v>196</v>
      </c>
      <c r="F79" s="135"/>
      <c r="G79" s="135"/>
      <c r="H79" s="135"/>
      <c r="I79" s="135"/>
      <c r="J79" s="136">
        <v>0.44</v>
      </c>
      <c r="K79" s="1"/>
    </row>
    <row r="80" ht="15.6" spans="2:13">
      <c r="D80" s="126">
        <v>6</v>
      </c>
      <c r="E80" s="132" t="s">
        <v>304</v>
      </c>
      <c r="F80" s="132"/>
      <c r="G80" s="132"/>
      <c r="H80" s="132"/>
      <c r="I80" s="132"/>
      <c r="J80" s="137">
        <f>J78*J79*J75</f>
        <v>37187341.4</v>
      </c>
      <c r="K80" s="1"/>
    </row>
    <row r="81" ht="15.6" spans="4:12">
      <c r="D81" s="126">
        <v>7</v>
      </c>
      <c r="E81" s="134" t="s">
        <v>305</v>
      </c>
      <c r="F81" s="134"/>
      <c r="G81" s="134"/>
      <c r="H81" s="134"/>
      <c r="I81" s="134"/>
      <c r="J81" s="138">
        <v>14500000</v>
      </c>
      <c r="K81" s="1"/>
    </row>
    <row r="82" ht="15.6" spans="4:12">
      <c r="D82" s="126"/>
      <c r="E82" s="129" t="s">
        <v>306</v>
      </c>
      <c r="G82" s="129"/>
      <c r="H82" s="130"/>
      <c r="I82" s="130"/>
      <c r="J82" s="138">
        <f>J80+J81</f>
        <v>51687341.4</v>
      </c>
      <c r="K82" s="1" t="s">
        <v>199</v>
      </c>
    </row>
    <row r="83" ht="15.6" spans="4:12">
      <c r="D83" s="126"/>
      <c r="E83" s="129"/>
      <c r="F83" s="130"/>
      <c r="G83" s="130"/>
      <c r="H83" s="130"/>
      <c r="I83" s="130"/>
      <c r="J83" s="128"/>
      <c r="K83" s="126"/>
    </row>
    <row r="84" ht="15.6" spans="4:12">
      <c r="D84" s="1"/>
      <c r="E84" s="1"/>
      <c r="F84" s="1"/>
      <c r="G84" s="1"/>
      <c r="H84" s="1" t="s">
        <v>200</v>
      </c>
      <c r="I84" s="1"/>
      <c r="J84" s="139">
        <f>+J72+J82</f>
        <v>424867293.722812</v>
      </c>
      <c r="K84" s="1"/>
      <c r="L84" s="107"/>
    </row>
    <row r="85" ht="15.6" spans="4:12">
      <c r="D85" s="1"/>
      <c r="E85" s="1"/>
      <c r="F85" s="1"/>
      <c r="G85" s="1"/>
      <c r="H85" s="1"/>
      <c r="I85" s="1"/>
      <c r="J85" s="30">
        <f>+J84/10000000</f>
        <v>42.4867293722812</v>
      </c>
      <c r="K85" s="1" t="s">
        <v>105</v>
      </c>
      <c r="L85" s="107"/>
    </row>
    <row r="86" spans="4:12">
      <c r="L86" s="107"/>
    </row>
    <row r="87" spans="4:12">
      <c r="D87" s="107"/>
      <c r="E87" s="107" t="s">
        <v>106</v>
      </c>
      <c r="F87" s="107" t="s">
        <v>307</v>
      </c>
      <c r="G87" s="107"/>
      <c r="H87" s="107"/>
      <c r="I87" s="108"/>
      <c r="J87" s="107"/>
      <c r="K87" s="107"/>
      <c r="L87" s="107"/>
    </row>
    <row r="88" spans="4:12">
      <c r="D88" s="107"/>
      <c r="E88" s="107"/>
      <c r="F88" s="107" t="s">
        <v>108</v>
      </c>
      <c r="G88" s="107"/>
      <c r="H88" s="107"/>
      <c r="I88" s="108"/>
      <c r="J88" s="107"/>
      <c r="K88" s="107"/>
      <c r="L88" s="107"/>
    </row>
    <row r="89" spans="4:12">
      <c r="D89" s="107"/>
      <c r="E89" s="107"/>
      <c r="F89" s="107" t="s">
        <v>201</v>
      </c>
      <c r="G89" s="107"/>
      <c r="H89" s="107">
        <f>F12*2</f>
        <v>14759.78</v>
      </c>
      <c r="J89" s="107"/>
      <c r="K89" s="107"/>
      <c r="L89" s="107"/>
    </row>
    <row r="90" spans="4:12">
      <c r="D90" s="107"/>
      <c r="E90" s="107"/>
      <c r="F90" s="107" t="s">
        <v>111</v>
      </c>
      <c r="G90" s="107"/>
      <c r="H90" s="107"/>
      <c r="I90" s="108"/>
      <c r="J90" s="107"/>
      <c r="K90" s="107"/>
      <c r="L90" s="107"/>
    </row>
    <row r="91" spans="4:12">
      <c r="D91" s="107"/>
      <c r="E91" s="107"/>
      <c r="F91" s="107" t="s">
        <v>112</v>
      </c>
      <c r="G91" s="107"/>
      <c r="H91" s="107"/>
      <c r="I91" s="108"/>
      <c r="J91" s="107"/>
      <c r="K91" s="107"/>
      <c r="L91" s="107"/>
    </row>
    <row r="92" spans="4:12">
      <c r="D92" s="107"/>
      <c r="E92" s="107"/>
      <c r="F92" s="107" t="s">
        <v>113</v>
      </c>
      <c r="G92" s="107"/>
      <c r="H92" s="107"/>
      <c r="I92" s="108"/>
      <c r="J92" s="107"/>
      <c r="K92" s="107"/>
      <c r="L92" s="107"/>
    </row>
    <row r="93" ht="15.6" spans="4:12">
      <c r="D93" s="107"/>
      <c r="E93" s="107"/>
      <c r="F93" s="109" t="s">
        <v>114</v>
      </c>
      <c r="G93" s="108"/>
      <c r="H93" s="110"/>
      <c r="I93" s="108"/>
      <c r="J93" s="107"/>
      <c r="K93" s="107"/>
      <c r="L93" s="107"/>
    </row>
    <row r="94" spans="4:12">
      <c r="D94" s="107"/>
      <c r="E94" s="107"/>
      <c r="F94" s="109" t="s">
        <v>115</v>
      </c>
      <c r="G94" s="107"/>
      <c r="H94" s="107"/>
      <c r="I94" s="107"/>
      <c r="J94" s="107"/>
      <c r="K94" s="107"/>
      <c r="L94" s="107"/>
    </row>
    <row r="95" spans="4:12">
      <c r="D95" s="107"/>
      <c r="E95" s="107"/>
      <c r="F95" s="108" t="s">
        <v>116</v>
      </c>
      <c r="G95" s="107"/>
      <c r="H95" s="107"/>
      <c r="I95" s="107"/>
      <c r="J95" s="107"/>
      <c r="K95" s="107"/>
      <c r="L95" s="107"/>
    </row>
    <row r="96" spans="4:12">
      <c r="D96" s="107"/>
      <c r="E96" s="107"/>
      <c r="F96" s="107"/>
      <c r="G96" s="107"/>
      <c r="H96" s="107"/>
      <c r="I96" s="107"/>
      <c r="J96" s="107"/>
      <c r="K96" s="107"/>
      <c r="L96" s="107"/>
    </row>
    <row r="97" spans="4:12">
      <c r="D97" s="107"/>
      <c r="E97" s="107"/>
      <c r="F97" s="107"/>
      <c r="G97" s="107"/>
      <c r="H97" s="107"/>
      <c r="I97" s="107"/>
      <c r="J97" s="107"/>
      <c r="K97" s="107"/>
      <c r="L97" s="107"/>
    </row>
    <row r="98" spans="4:12">
      <c r="D98" s="107"/>
      <c r="E98" s="107"/>
      <c r="F98" s="107"/>
      <c r="G98" s="107"/>
      <c r="H98" s="107"/>
      <c r="I98" s="107"/>
      <c r="J98" s="107"/>
      <c r="K98" s="107"/>
    </row>
  </sheetData>
  <mergeCells count="6">
    <mergeCell ref="E74:I74"/>
    <mergeCell ref="E76:I76"/>
    <mergeCell ref="E77:I77"/>
    <mergeCell ref="E78:I78"/>
    <mergeCell ref="E79:I79"/>
    <mergeCell ref="E81:I81"/>
  </mergeCells>
  <printOptions horizontalCentered="1" verticalCentered="1"/>
  <pageMargins left="0.95" right="0.7" top="0.25" bottom="0.25" header="0.3" footer="0.3"/>
  <pageSetup paperSize="5" scale="55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T71"/>
  <sheetViews>
    <sheetView tabSelected="1" topLeftCell="A47" workbookViewId="0">
      <selection activeCell="C4" sqref="C4:M71"/>
    </sheetView>
  </sheetViews>
  <sheetFormatPr defaultColWidth="9" defaultRowHeight="14.4"/>
  <cols>
    <col min="2" max="2" width="6.28703703703704" customWidth="1"/>
    <col min="3" max="3" width="7.28703703703704" customWidth="1"/>
    <col min="4" max="4" width="12.5740740740741" customWidth="1"/>
    <col min="5" max="5" width="13.4259259259259" customWidth="1"/>
    <col min="6" max="6" width="2" customWidth="1"/>
    <col min="7" max="7" width="25.4259259259259" customWidth="1"/>
    <col min="8" max="8" width="24.8518518518519" customWidth="1"/>
    <col min="9" max="9" width="18.5740740740741" customWidth="1"/>
    <col min="10" max="10" width="14.287037037037" customWidth="1"/>
    <col min="11" max="11" width="18.8518518518519" customWidth="1"/>
    <col min="12" max="12" width="4" customWidth="1"/>
    <col min="14" max="14" width="14.1388888888889" customWidth="1"/>
  </cols>
  <sheetData>
    <row r="1" spans="2:13">
      <c r="C1" s="1"/>
    </row>
    <row r="2" ht="15.6" spans="2:13">
      <c r="C2" s="1"/>
      <c r="D2" s="2"/>
    </row>
    <row r="3" ht="15.6" spans="2:13">
      <c r="C3" s="1"/>
      <c r="D3" s="2"/>
    </row>
    <row r="4" spans="2:13">
      <c r="B4" s="3"/>
      <c r="C4" s="1"/>
      <c r="D4" s="4" t="s">
        <v>308</v>
      </c>
      <c r="E4" s="1"/>
      <c r="F4" s="1"/>
      <c r="H4" s="1"/>
      <c r="I4" s="1"/>
      <c r="J4" s="1"/>
    </row>
    <row r="5" spans="2:13">
      <c r="B5" s="3"/>
      <c r="C5" s="1"/>
      <c r="D5" s="4"/>
      <c r="E5" s="1"/>
      <c r="F5" s="1"/>
      <c r="H5" s="1"/>
      <c r="I5" s="1"/>
      <c r="J5" s="1"/>
    </row>
    <row r="6" ht="17.4" spans="2:13">
      <c r="B6" s="5"/>
      <c r="C6" s="5" t="s">
        <v>284</v>
      </c>
      <c r="D6" s="5"/>
      <c r="E6" s="5"/>
      <c r="F6" s="5"/>
      <c r="G6" s="5"/>
      <c r="H6" s="5"/>
      <c r="I6" s="5"/>
      <c r="J6" s="6"/>
    </row>
    <row r="7" ht="17.4" spans="2:13">
      <c r="B7" s="5"/>
      <c r="C7" s="5" t="s">
        <v>309</v>
      </c>
      <c r="D7" s="5"/>
      <c r="E7" s="5"/>
      <c r="F7" s="5"/>
      <c r="G7" s="5"/>
      <c r="H7" s="5"/>
      <c r="I7" s="5"/>
      <c r="J7" s="6"/>
    </row>
    <row r="8" ht="21.75" customHeight="1" spans="2:13">
      <c r="B8" s="1"/>
      <c r="C8" s="7"/>
      <c r="D8" s="1"/>
      <c r="E8" s="1"/>
      <c r="F8" s="1"/>
      <c r="G8" s="1"/>
      <c r="H8" s="8"/>
      <c r="I8" s="1"/>
      <c r="J8" s="1"/>
    </row>
    <row r="9" ht="16.5" customHeight="1" spans="2:13">
      <c r="C9" s="1"/>
      <c r="D9" s="9" t="s">
        <v>0</v>
      </c>
      <c r="E9" s="10"/>
      <c r="F9" s="10" t="s">
        <v>310</v>
      </c>
      <c r="G9" s="11" t="s">
        <v>311</v>
      </c>
      <c r="H9" s="12"/>
      <c r="I9" s="8"/>
      <c r="J9" s="1"/>
    </row>
    <row r="10" ht="15.6" spans="2:13">
      <c r="C10" s="1"/>
      <c r="D10" s="13" t="s">
        <v>7</v>
      </c>
      <c r="E10" s="2"/>
      <c r="F10" s="2" t="s">
        <v>310</v>
      </c>
      <c r="G10" s="14">
        <v>48562.28</v>
      </c>
      <c r="H10" s="15" t="s">
        <v>8</v>
      </c>
      <c r="J10" s="16"/>
      <c r="K10" s="17"/>
      <c r="M10" s="18"/>
    </row>
    <row r="11" ht="15.6" spans="2:13">
      <c r="C11" s="1"/>
      <c r="D11" s="19" t="s">
        <v>9</v>
      </c>
      <c r="E11" s="2"/>
      <c r="F11" s="2" t="s">
        <v>310</v>
      </c>
      <c r="G11" s="20">
        <v>1</v>
      </c>
      <c r="H11" s="21"/>
      <c r="I11" s="18"/>
      <c r="J11" s="22"/>
    </row>
    <row r="12" ht="15.6" spans="2:13">
      <c r="C12" s="1"/>
      <c r="D12" s="23" t="s">
        <v>10</v>
      </c>
      <c r="E12" s="24"/>
      <c r="F12" s="24" t="s">
        <v>310</v>
      </c>
      <c r="G12" s="25">
        <f>G11*G10</f>
        <v>48562.28</v>
      </c>
      <c r="H12" s="26" t="s">
        <v>11</v>
      </c>
      <c r="I12" s="27"/>
      <c r="J12" s="2"/>
    </row>
    <row r="13" ht="18.75" customHeight="1" spans="2:13">
      <c r="C13" s="1"/>
      <c r="D13" s="2"/>
      <c r="E13" s="2"/>
      <c r="F13" s="2"/>
      <c r="G13" s="2"/>
      <c r="H13" s="2"/>
      <c r="I13" s="2"/>
      <c r="J13" s="2"/>
    </row>
    <row r="14" ht="17.25" customHeight="1" spans="2:13">
      <c r="C14" s="7" t="s">
        <v>118</v>
      </c>
      <c r="D14" s="4" t="s">
        <v>312</v>
      </c>
      <c r="E14" s="2"/>
      <c r="F14" s="2"/>
      <c r="G14" s="2"/>
      <c r="H14" s="2"/>
      <c r="I14" s="2"/>
      <c r="J14" s="2"/>
    </row>
    <row r="15" ht="15" customHeight="1" spans="2:13">
      <c r="C15" s="7"/>
      <c r="D15" s="4" t="s">
        <v>313</v>
      </c>
      <c r="E15" s="2"/>
      <c r="F15" s="2"/>
      <c r="G15" s="2"/>
      <c r="H15" s="2"/>
      <c r="I15" s="2"/>
      <c r="J15" s="2"/>
    </row>
    <row r="16" ht="15" customHeight="1" spans="2:13">
      <c r="C16" s="7"/>
      <c r="D16" s="4" t="s">
        <v>314</v>
      </c>
      <c r="E16" s="2"/>
      <c r="F16" s="2"/>
      <c r="G16" s="2"/>
      <c r="H16" s="2"/>
      <c r="I16" s="2"/>
      <c r="J16" s="2"/>
    </row>
    <row r="17" ht="15" customHeight="1" spans="2:10">
      <c r="C17" s="7"/>
      <c r="D17" s="4" t="s">
        <v>315</v>
      </c>
      <c r="E17" s="2"/>
      <c r="F17" s="2"/>
      <c r="G17" s="2"/>
      <c r="H17" s="2"/>
      <c r="I17" s="2"/>
      <c r="J17" s="2"/>
    </row>
    <row r="18" ht="15" customHeight="1" spans="2:10">
      <c r="C18" s="7"/>
      <c r="D18" s="4" t="s">
        <v>316</v>
      </c>
      <c r="E18" s="2"/>
      <c r="F18" s="2"/>
      <c r="G18" s="2"/>
      <c r="H18" s="2"/>
      <c r="I18" s="2"/>
      <c r="J18" s="2"/>
    </row>
    <row r="19" ht="15" customHeight="1" spans="2:10">
      <c r="C19" s="7"/>
      <c r="D19" s="4"/>
      <c r="E19" s="2"/>
      <c r="F19" s="2"/>
      <c r="G19" s="2"/>
      <c r="H19" s="2"/>
      <c r="I19" s="2"/>
      <c r="J19" s="2"/>
    </row>
    <row r="20" ht="15" customHeight="1" spans="2:10">
      <c r="C20" s="7"/>
      <c r="D20" s="4"/>
      <c r="E20" s="2"/>
      <c r="F20" s="2"/>
      <c r="G20" s="2"/>
      <c r="H20" s="2"/>
      <c r="I20" s="2"/>
      <c r="J20" s="2"/>
    </row>
    <row r="21" ht="15.6" spans="2:10">
      <c r="C21" s="1"/>
      <c r="D21" s="28" t="s">
        <v>12</v>
      </c>
      <c r="E21" s="10"/>
      <c r="F21" s="10"/>
      <c r="G21" s="10"/>
      <c r="H21" s="10"/>
      <c r="I21" s="180" t="s">
        <v>317</v>
      </c>
      <c r="J21" s="30"/>
    </row>
    <row r="22" ht="15.6" spans="2:10">
      <c r="D22" s="13" t="s">
        <v>289</v>
      </c>
      <c r="E22" s="2"/>
      <c r="F22" s="2"/>
      <c r="G22" s="2"/>
      <c r="H22" s="2"/>
      <c r="I22" s="31">
        <v>388.74</v>
      </c>
      <c r="J22" s="30"/>
    </row>
    <row r="23" ht="15.6" spans="2:10">
      <c r="D23" s="181" t="s">
        <v>290</v>
      </c>
      <c r="E23" s="33"/>
      <c r="F23" s="33"/>
      <c r="G23" s="33"/>
      <c r="H23" s="33"/>
      <c r="I23" s="34"/>
      <c r="J23" s="30"/>
    </row>
    <row r="24" ht="15.6" spans="2:10">
      <c r="D24" s="35"/>
      <c r="E24" s="36"/>
      <c r="F24" s="36"/>
      <c r="G24" s="36"/>
      <c r="H24" s="36"/>
      <c r="I24" s="37"/>
      <c r="J24" s="30"/>
    </row>
    <row r="25" ht="15.6" spans="2:10">
      <c r="D25" s="38"/>
      <c r="E25" s="39"/>
      <c r="F25" s="39"/>
      <c r="G25" s="36"/>
      <c r="H25" s="36"/>
      <c r="I25" s="40" t="s">
        <v>318</v>
      </c>
      <c r="J25" s="40" t="s">
        <v>319</v>
      </c>
    </row>
    <row r="26" ht="15.6" spans="2:10">
      <c r="D26" s="28" t="s">
        <v>320</v>
      </c>
      <c r="E26" s="41"/>
      <c r="F26" s="41"/>
      <c r="G26" s="41"/>
      <c r="H26" s="41"/>
      <c r="I26" s="42">
        <f>I22</f>
        <v>388.74</v>
      </c>
      <c r="J26" s="43">
        <f>I22*0.4</f>
        <v>155.496</v>
      </c>
    </row>
    <row r="27" ht="15.6" spans="2:10">
      <c r="D27" s="13" t="s">
        <v>321</v>
      </c>
      <c r="E27" s="36"/>
      <c r="F27" s="36"/>
      <c r="G27" s="36"/>
      <c r="H27" s="36"/>
      <c r="I27" s="44">
        <f>ROUND(I26*1.02,2)</f>
        <v>396.51</v>
      </c>
      <c r="J27" s="45">
        <f>ROUND(J26*1.02,2)</f>
        <v>158.61</v>
      </c>
    </row>
    <row r="28" ht="15.6" spans="2:10">
      <c r="D28" s="13" t="s">
        <v>322</v>
      </c>
      <c r="E28" s="36"/>
      <c r="F28" s="36"/>
      <c r="G28" s="36"/>
      <c r="H28" s="36"/>
      <c r="I28" s="44">
        <f t="shared" ref="I28:J30" si="0">ROUND(I27*1.02,2)</f>
        <v>404.44</v>
      </c>
      <c r="J28" s="45">
        <f t="shared" si="0"/>
        <v>161.78</v>
      </c>
    </row>
    <row r="29" ht="15.6" spans="2:10">
      <c r="D29" s="13" t="s">
        <v>323</v>
      </c>
      <c r="E29" s="36"/>
      <c r="F29" s="36"/>
      <c r="G29" s="36"/>
      <c r="H29" s="36"/>
      <c r="I29" s="44">
        <f t="shared" si="0"/>
        <v>412.53</v>
      </c>
      <c r="J29" s="45">
        <f t="shared" si="0"/>
        <v>165.02</v>
      </c>
    </row>
    <row r="30" ht="14.25" customHeight="1" spans="2:10">
      <c r="B30" s="1"/>
      <c r="C30" s="2"/>
      <c r="D30" s="23" t="s">
        <v>324</v>
      </c>
      <c r="E30" s="33"/>
      <c r="F30" s="33"/>
      <c r="G30" s="33"/>
      <c r="H30" s="46"/>
      <c r="I30" s="47">
        <f t="shared" si="0"/>
        <v>420.78</v>
      </c>
      <c r="J30" s="34">
        <f t="shared" si="0"/>
        <v>168.32</v>
      </c>
    </row>
    <row r="31" ht="14.25" customHeight="1" spans="2:10">
      <c r="B31" s="1"/>
      <c r="C31" s="2"/>
      <c r="D31" s="2"/>
      <c r="E31" s="36"/>
      <c r="F31" s="36"/>
      <c r="G31" s="36"/>
      <c r="H31" s="48"/>
      <c r="I31" s="49"/>
      <c r="J31" s="2"/>
    </row>
    <row r="32" ht="15.6" spans="2:10">
      <c r="B32" s="1"/>
      <c r="C32" s="50" t="s">
        <v>325</v>
      </c>
      <c r="D32" s="2"/>
      <c r="E32" s="2"/>
      <c r="F32" s="2"/>
      <c r="G32" s="2"/>
      <c r="H32" s="51">
        <v>6.77</v>
      </c>
      <c r="I32" s="52" t="s">
        <v>6</v>
      </c>
      <c r="J32" s="2"/>
    </row>
    <row r="33" ht="15.6" spans="2:14">
      <c r="B33" s="1"/>
      <c r="C33" s="2"/>
      <c r="D33" s="2"/>
      <c r="E33" s="2"/>
      <c r="F33" s="24"/>
      <c r="G33" s="2"/>
      <c r="H33" s="53"/>
      <c r="I33" s="54"/>
      <c r="J33" s="2"/>
    </row>
    <row r="34" ht="15.6" spans="2:14">
      <c r="B34" s="1"/>
      <c r="D34" s="55" t="s">
        <v>326</v>
      </c>
      <c r="E34" s="56" t="s">
        <v>17</v>
      </c>
      <c r="F34" s="57"/>
      <c r="G34" s="58" t="s">
        <v>18</v>
      </c>
      <c r="H34" s="58" t="s">
        <v>19</v>
      </c>
    </row>
    <row r="35" ht="15.6" spans="2:14">
      <c r="B35" s="1"/>
      <c r="D35" s="59">
        <v>1</v>
      </c>
      <c r="E35" s="60">
        <f>G12*90%</f>
        <v>43706.052</v>
      </c>
      <c r="F35" s="61"/>
      <c r="G35" s="62">
        <f>J29</f>
        <v>165.02</v>
      </c>
      <c r="H35" s="62">
        <f>ROUND(G35*E35,2)</f>
        <v>7212372.7</v>
      </c>
    </row>
    <row r="36" ht="15.6" spans="2:14">
      <c r="B36" s="1"/>
      <c r="D36" s="59">
        <v>2</v>
      </c>
      <c r="E36" s="60">
        <f>G12*10%</f>
        <v>4856.228</v>
      </c>
      <c r="F36" s="61"/>
      <c r="G36" s="62">
        <f>I29</f>
        <v>412.53</v>
      </c>
      <c r="H36" s="62">
        <f>ROUND(E36*G36,2)</f>
        <v>2003339.74</v>
      </c>
    </row>
    <row r="37" ht="15.6" spans="2:14">
      <c r="B37" s="1"/>
      <c r="D37" s="59" t="s">
        <v>327</v>
      </c>
      <c r="E37" s="60">
        <f>E35+E36</f>
        <v>48562.28</v>
      </c>
      <c r="F37" s="63"/>
      <c r="G37" s="62"/>
      <c r="H37" s="62">
        <f>H35+H36</f>
        <v>9215712.44</v>
      </c>
      <c r="I37" s="2" t="s">
        <v>20</v>
      </c>
    </row>
    <row r="38" ht="14.25" customHeight="1" spans="2:14">
      <c r="B38" s="1"/>
      <c r="D38" s="2"/>
      <c r="E38" s="2"/>
      <c r="F38" s="2"/>
      <c r="G38" s="30"/>
      <c r="H38" s="30"/>
      <c r="I38" s="2" t="s">
        <v>295</v>
      </c>
    </row>
    <row r="39" ht="15.6" spans="2:14">
      <c r="B39" s="1"/>
      <c r="H39" s="30"/>
      <c r="I39" s="30"/>
      <c r="J39" s="30"/>
      <c r="K39" s="36"/>
    </row>
    <row r="40" ht="15.6" spans="2:14">
      <c r="B40" s="1"/>
      <c r="C40" t="s">
        <v>123</v>
      </c>
      <c r="H40" s="30">
        <f>H37</f>
        <v>9215712.44</v>
      </c>
      <c r="I40" s="172" t="s">
        <v>23</v>
      </c>
      <c r="J40" s="30"/>
    </row>
    <row r="41" ht="15.6" spans="2:14">
      <c r="B41" s="1"/>
      <c r="C41" t="s">
        <v>124</v>
      </c>
      <c r="H41" s="30">
        <f t="shared" ref="H41" si="1">+H40*1.02</f>
        <v>9400026.6888</v>
      </c>
      <c r="I41" s="172" t="s">
        <v>23</v>
      </c>
      <c r="J41" s="30"/>
    </row>
    <row r="42" ht="15.6" spans="2:14">
      <c r="B42" s="1"/>
      <c r="H42" s="30"/>
      <c r="I42" s="30"/>
      <c r="J42" s="30"/>
    </row>
    <row r="43" ht="18" spans="2:14">
      <c r="B43" s="1"/>
      <c r="C43" s="64" t="s">
        <v>25</v>
      </c>
      <c r="D43" s="65"/>
      <c r="E43" s="65" t="s">
        <v>26</v>
      </c>
      <c r="F43" s="65"/>
      <c r="G43" s="65"/>
      <c r="H43" s="30">
        <f>H40*5+H41*7</f>
        <v>111878749.0216</v>
      </c>
      <c r="I43" s="66"/>
    </row>
    <row r="44" ht="13.5" customHeight="1" spans="2:14">
      <c r="B44" s="1"/>
      <c r="C44" s="2"/>
      <c r="D44" s="2"/>
      <c r="E44" s="2"/>
      <c r="F44" s="2"/>
      <c r="G44" s="2"/>
      <c r="H44" s="2"/>
      <c r="I44" s="2"/>
      <c r="J44" s="2"/>
    </row>
    <row r="45" ht="42.75" customHeight="1" spans="2:14">
      <c r="B45" s="1"/>
      <c r="C45" s="67" t="s">
        <v>27</v>
      </c>
      <c r="D45" s="68" t="s">
        <v>28</v>
      </c>
      <c r="E45" s="69"/>
      <c r="F45" s="70"/>
      <c r="G45" s="71" t="s">
        <v>29</v>
      </c>
      <c r="H45" s="71" t="s">
        <v>30</v>
      </c>
      <c r="I45" s="72" t="s">
        <v>31</v>
      </c>
      <c r="J45" s="73" t="s">
        <v>32</v>
      </c>
      <c r="K45" s="74" t="s">
        <v>33</v>
      </c>
    </row>
    <row r="46" ht="15.6" spans="2:14">
      <c r="B46" s="1"/>
      <c r="C46" s="75"/>
      <c r="D46" s="76"/>
      <c r="E46" s="33"/>
      <c r="F46" s="77"/>
      <c r="G46" s="78" t="s">
        <v>328</v>
      </c>
      <c r="H46" s="78" t="s">
        <v>329</v>
      </c>
      <c r="I46" s="79"/>
      <c r="J46" s="80">
        <f>H32</f>
        <v>6.77</v>
      </c>
      <c r="K46" s="81"/>
    </row>
    <row r="47" ht="15.6" spans="2:14">
      <c r="B47" s="1"/>
      <c r="C47" s="173" t="s">
        <v>36</v>
      </c>
      <c r="D47" s="56"/>
      <c r="E47" s="182" t="s">
        <v>37</v>
      </c>
      <c r="F47" s="84"/>
      <c r="G47" s="175" t="s">
        <v>38</v>
      </c>
      <c r="H47" s="175" t="s">
        <v>39</v>
      </c>
      <c r="I47" s="175" t="s">
        <v>330</v>
      </c>
      <c r="J47" s="176" t="s">
        <v>41</v>
      </c>
      <c r="K47" s="176" t="s">
        <v>42</v>
      </c>
      <c r="N47" s="66"/>
    </row>
    <row r="48" ht="15.6" spans="2:14">
      <c r="B48" s="1"/>
      <c r="C48" s="87">
        <v>1</v>
      </c>
      <c r="D48" s="177" t="s">
        <v>331</v>
      </c>
      <c r="E48" s="88" t="s">
        <v>332</v>
      </c>
      <c r="F48" s="89"/>
      <c r="G48" s="90">
        <f>+H40</f>
        <v>9215712.44</v>
      </c>
      <c r="H48" s="91">
        <f>+H41</f>
        <v>9400026.6888</v>
      </c>
      <c r="I48" s="92">
        <f>(G48*5)+(H48*7)</f>
        <v>111878749.0216</v>
      </c>
      <c r="J48" s="93">
        <v>1</v>
      </c>
      <c r="K48" s="94">
        <f t="shared" ref="K48:K57" si="2">+I48*J48</f>
        <v>111878749.0216</v>
      </c>
      <c r="N48" s="66"/>
    </row>
    <row r="49" ht="15.6" spans="2:20">
      <c r="B49" s="1"/>
      <c r="C49" s="87">
        <v>2</v>
      </c>
      <c r="D49" s="177" t="s">
        <v>333</v>
      </c>
      <c r="E49" s="88" t="s">
        <v>334</v>
      </c>
      <c r="F49" s="89"/>
      <c r="G49" s="90">
        <f>+H48</f>
        <v>9400026.6888</v>
      </c>
      <c r="H49" s="95">
        <f>G49*1.02</f>
        <v>9588027.222576</v>
      </c>
      <c r="I49" s="92">
        <f t="shared" ref="I49:I57" si="3">(G49*5)+(H49*7)</f>
        <v>114116324.002032</v>
      </c>
      <c r="J49" s="96">
        <f t="shared" ref="J49:J57" si="4">1/(1+(0.01*$H$32))^(C49-1)</f>
        <v>0.936592675845275</v>
      </c>
      <c r="K49" s="94">
        <f t="shared" si="2"/>
        <v>106880513.25469</v>
      </c>
      <c r="N49" s="66"/>
    </row>
    <row r="50" ht="15.6" spans="2:20">
      <c r="B50" s="1"/>
      <c r="C50" s="87">
        <v>3</v>
      </c>
      <c r="D50" s="177" t="s">
        <v>335</v>
      </c>
      <c r="E50" s="88" t="s">
        <v>336</v>
      </c>
      <c r="F50" s="89"/>
      <c r="G50" s="90">
        <f t="shared" ref="G50:G57" si="5">+H49</f>
        <v>9588027.222576</v>
      </c>
      <c r="H50" s="95">
        <f t="shared" ref="H50:H57" si="6">G50*1.02</f>
        <v>9779787.76702752</v>
      </c>
      <c r="I50" s="92">
        <f t="shared" si="3"/>
        <v>116398650.482073</v>
      </c>
      <c r="J50" s="96">
        <f t="shared" si="4"/>
        <v>0.877205840447012</v>
      </c>
      <c r="K50" s="94">
        <f t="shared" si="2"/>
        <v>102105576.023025</v>
      </c>
      <c r="N50" s="66"/>
    </row>
    <row r="51" ht="15.6" spans="2:20">
      <c r="B51" s="1"/>
      <c r="C51" s="87">
        <v>4</v>
      </c>
      <c r="D51" s="177" t="s">
        <v>337</v>
      </c>
      <c r="E51" s="88" t="s">
        <v>338</v>
      </c>
      <c r="F51" s="89"/>
      <c r="G51" s="90">
        <f t="shared" si="5"/>
        <v>9779787.76702752</v>
      </c>
      <c r="H51" s="95">
        <f t="shared" si="6"/>
        <v>9975383.52236807</v>
      </c>
      <c r="I51" s="92">
        <f t="shared" si="3"/>
        <v>118726623.491714</v>
      </c>
      <c r="J51" s="96">
        <f t="shared" si="4"/>
        <v>0.82158456537137</v>
      </c>
      <c r="K51" s="94">
        <f t="shared" si="2"/>
        <v>97543961.3594502</v>
      </c>
      <c r="N51" s="66"/>
    </row>
    <row r="52" ht="15.6" spans="2:20">
      <c r="B52" s="1"/>
      <c r="C52" s="87">
        <v>5</v>
      </c>
      <c r="D52" s="177" t="s">
        <v>339</v>
      </c>
      <c r="E52" s="88" t="s">
        <v>340</v>
      </c>
      <c r="F52" s="97"/>
      <c r="G52" s="90">
        <f t="shared" si="5"/>
        <v>9975383.52236807</v>
      </c>
      <c r="H52" s="95">
        <f t="shared" si="6"/>
        <v>10174891.1928154</v>
      </c>
      <c r="I52" s="92">
        <f t="shared" si="3"/>
        <v>121101155.961548</v>
      </c>
      <c r="J52" s="96">
        <f t="shared" si="4"/>
        <v>0.769490086514349</v>
      </c>
      <c r="K52" s="94">
        <f t="shared" si="2"/>
        <v>93186138.9778395</v>
      </c>
      <c r="N52" s="66"/>
    </row>
    <row r="53" ht="15.6" spans="2:20">
      <c r="B53" s="1"/>
      <c r="C53" s="87">
        <v>6</v>
      </c>
      <c r="D53" s="177" t="s">
        <v>341</v>
      </c>
      <c r="E53" s="88" t="s">
        <v>342</v>
      </c>
      <c r="F53" s="89"/>
      <c r="G53" s="90">
        <f t="shared" si="5"/>
        <v>10174891.1928154</v>
      </c>
      <c r="H53" s="95">
        <f t="shared" si="6"/>
        <v>10378389.0166717</v>
      </c>
      <c r="I53" s="92">
        <f t="shared" si="3"/>
        <v>123523179.080779</v>
      </c>
      <c r="J53" s="96">
        <f t="shared" si="4"/>
        <v>0.720698779164886</v>
      </c>
      <c r="K53" s="94">
        <f t="shared" si="2"/>
        <v>89023004.3620832</v>
      </c>
      <c r="N53" s="66"/>
    </row>
    <row r="54" ht="15.6" spans="2:20">
      <c r="B54" s="1"/>
      <c r="C54" s="87">
        <v>7</v>
      </c>
      <c r="D54" s="177" t="s">
        <v>343</v>
      </c>
      <c r="E54" s="88" t="s">
        <v>344</v>
      </c>
      <c r="F54" s="89"/>
      <c r="G54" s="90">
        <f t="shared" si="5"/>
        <v>10378389.0166717</v>
      </c>
      <c r="H54" s="95">
        <f t="shared" si="6"/>
        <v>10585956.7970052</v>
      </c>
      <c r="I54" s="92">
        <f t="shared" si="3"/>
        <v>125993642.662395</v>
      </c>
      <c r="J54" s="96">
        <f t="shared" si="4"/>
        <v>0.675001198056463</v>
      </c>
      <c r="K54" s="94">
        <f t="shared" si="2"/>
        <v>85045859.7446145</v>
      </c>
      <c r="N54" s="66"/>
    </row>
    <row r="55" ht="15.6" spans="2:20">
      <c r="B55" s="8"/>
      <c r="C55" s="87">
        <v>8</v>
      </c>
      <c r="D55" s="177" t="s">
        <v>345</v>
      </c>
      <c r="E55" s="88" t="s">
        <v>346</v>
      </c>
      <c r="F55" s="89"/>
      <c r="G55" s="90">
        <f t="shared" si="5"/>
        <v>10585956.7970052</v>
      </c>
      <c r="H55" s="95">
        <f t="shared" si="6"/>
        <v>10797675.9329453</v>
      </c>
      <c r="I55" s="92">
        <f t="shared" si="3"/>
        <v>128513515.515643</v>
      </c>
      <c r="J55" s="96">
        <f t="shared" si="4"/>
        <v>0.632201178286469</v>
      </c>
      <c r="K55" s="94">
        <f t="shared" si="2"/>
        <v>81246395.9347258</v>
      </c>
      <c r="N55" s="66"/>
    </row>
    <row r="56" ht="15.6" spans="2:20">
      <c r="B56" s="1"/>
      <c r="C56" s="87">
        <v>9</v>
      </c>
      <c r="D56" s="177" t="s">
        <v>347</v>
      </c>
      <c r="E56" s="88" t="s">
        <v>348</v>
      </c>
      <c r="F56" s="89"/>
      <c r="G56" s="90">
        <f t="shared" si="5"/>
        <v>10797675.9329453</v>
      </c>
      <c r="H56" s="95">
        <f t="shared" si="6"/>
        <v>11013629.4516042</v>
      </c>
      <c r="I56" s="92">
        <f t="shared" si="3"/>
        <v>131083785.825956</v>
      </c>
      <c r="J56" s="96">
        <f t="shared" si="4"/>
        <v>0.59211499324386</v>
      </c>
      <c r="K56" s="94">
        <f t="shared" si="2"/>
        <v>77616674.9587153</v>
      </c>
      <c r="N56" s="66"/>
    </row>
    <row r="57" ht="15.6" spans="2:20">
      <c r="B57" s="1"/>
      <c r="C57" s="87">
        <v>10</v>
      </c>
      <c r="D57" s="177" t="s">
        <v>349</v>
      </c>
      <c r="E57" s="88" t="s">
        <v>350</v>
      </c>
      <c r="F57" s="89"/>
      <c r="G57" s="90">
        <f t="shared" si="5"/>
        <v>11013629.4516042</v>
      </c>
      <c r="H57" s="95">
        <f t="shared" si="6"/>
        <v>11233902.0406363</v>
      </c>
      <c r="I57" s="92">
        <f t="shared" si="3"/>
        <v>133705461.542475</v>
      </c>
      <c r="J57" s="96">
        <f t="shared" si="4"/>
        <v>0.554570565930373</v>
      </c>
      <c r="K57" s="94">
        <f t="shared" si="2"/>
        <v>74149113.475592</v>
      </c>
      <c r="N57" s="66"/>
    </row>
    <row r="58" ht="16.35" spans="2:20">
      <c r="C58" s="87"/>
      <c r="D58" s="55"/>
      <c r="E58" s="88"/>
      <c r="F58" s="98"/>
      <c r="G58" s="90"/>
      <c r="H58" s="95"/>
      <c r="I58" s="92"/>
      <c r="J58" s="96"/>
      <c r="K58" s="94"/>
    </row>
    <row r="59" ht="18.75" spans="2:20">
      <c r="C59" s="99"/>
      <c r="D59" s="100"/>
      <c r="E59" s="100"/>
      <c r="F59" s="100"/>
      <c r="G59" s="101" t="s">
        <v>103</v>
      </c>
      <c r="H59" s="102"/>
      <c r="I59" s="103"/>
      <c r="J59" s="104"/>
      <c r="K59" s="105">
        <f>+SUM(K48:K57)</f>
        <v>918675987.112334</v>
      </c>
      <c r="L59" s="106"/>
      <c r="M59" s="106"/>
    </row>
    <row r="60" ht="15.6" spans="2:20">
      <c r="C60" s="1"/>
      <c r="D60" s="1"/>
      <c r="E60" s="1"/>
      <c r="F60" s="1"/>
      <c r="I60" s="1"/>
      <c r="J60" s="1"/>
      <c r="K60" s="30">
        <f>+K59/10000000</f>
        <v>91.8675987112335</v>
      </c>
      <c r="L60" s="1" t="s">
        <v>105</v>
      </c>
      <c r="M60" s="106" t="s">
        <v>104</v>
      </c>
    </row>
    <row r="61" spans="2:20">
      <c r="D61" s="1"/>
      <c r="T61">
        <f>2025-1974</f>
        <v>51</v>
      </c>
    </row>
    <row r="62" spans="2:20">
      <c r="C62" s="107" t="s">
        <v>106</v>
      </c>
      <c r="D62" s="107" t="s">
        <v>351</v>
      </c>
      <c r="F62" s="107"/>
      <c r="G62" s="107"/>
      <c r="J62" s="108"/>
      <c r="K62" s="107"/>
      <c r="L62" s="107"/>
      <c r="M62" s="107"/>
    </row>
    <row r="63" spans="2:20">
      <c r="C63" s="107"/>
      <c r="D63" s="107" t="s">
        <v>352</v>
      </c>
      <c r="F63" s="107"/>
      <c r="G63" s="107"/>
      <c r="J63" s="108"/>
      <c r="K63" s="107"/>
      <c r="L63" s="107"/>
      <c r="M63" s="107"/>
    </row>
    <row r="64" spans="2:20">
      <c r="C64" s="107"/>
      <c r="D64" s="107" t="s">
        <v>353</v>
      </c>
      <c r="F64" s="107"/>
      <c r="G64" s="107"/>
      <c r="J64" s="108"/>
      <c r="K64" s="107"/>
      <c r="L64" s="107"/>
      <c r="M64" s="107"/>
    </row>
    <row r="65" spans="3:13">
      <c r="C65" s="107"/>
      <c r="D65" s="107" t="s">
        <v>354</v>
      </c>
      <c r="F65" s="107"/>
      <c r="G65" s="107"/>
      <c r="J65" s="108"/>
      <c r="K65" s="107"/>
      <c r="L65" s="107"/>
      <c r="M65" s="107"/>
    </row>
    <row r="66" spans="3:13">
      <c r="C66" s="107"/>
      <c r="D66" s="107" t="s">
        <v>355</v>
      </c>
      <c r="F66" s="107"/>
      <c r="G66" s="107"/>
      <c r="J66" s="108"/>
      <c r="K66" s="107"/>
      <c r="L66" s="107"/>
      <c r="M66" s="107"/>
    </row>
    <row r="67" ht="15.6" spans="3:13">
      <c r="C67" s="107"/>
      <c r="D67" s="109" t="s">
        <v>356</v>
      </c>
      <c r="F67" s="108"/>
      <c r="G67" s="110"/>
      <c r="J67" s="108"/>
      <c r="K67" s="107"/>
      <c r="L67" s="107"/>
      <c r="M67" s="107"/>
    </row>
    <row r="68" spans="3:13">
      <c r="C68" s="107"/>
      <c r="D68" s="109" t="s">
        <v>357</v>
      </c>
      <c r="F68" s="107"/>
      <c r="G68" s="107"/>
      <c r="J68" s="107"/>
      <c r="K68" s="107"/>
      <c r="L68" s="107"/>
      <c r="M68" s="107"/>
    </row>
    <row r="69" spans="3:13">
      <c r="C69" s="107"/>
      <c r="D69" s="108" t="s">
        <v>358</v>
      </c>
      <c r="F69" s="107"/>
      <c r="G69" s="107"/>
      <c r="J69" s="107"/>
      <c r="K69" s="107"/>
      <c r="L69" s="107"/>
      <c r="M69" s="107"/>
    </row>
    <row r="70" spans="3:13">
      <c r="D70" s="107" t="s">
        <v>359</v>
      </c>
      <c r="E70" s="107"/>
      <c r="F70" s="107"/>
      <c r="G70" s="107"/>
      <c r="H70" s="107"/>
      <c r="I70" s="111">
        <f>ROUND(G10*2,2)</f>
        <v>97124.56</v>
      </c>
      <c r="J70" s="107"/>
      <c r="K70" s="107"/>
      <c r="L70" s="107"/>
      <c r="M70" s="107"/>
    </row>
    <row r="71" spans="3:13">
      <c r="D71" s="107" t="s">
        <v>360</v>
      </c>
    </row>
  </sheetData>
  <printOptions horizontalCentered="1"/>
  <pageMargins left="0.7" right="0.45" top="0.75" bottom="0.75" header="0.3" footer="0.3"/>
  <pageSetup paperSize="9" scale="3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UPFRONT 30 YRS</vt:lpstr>
      <vt:lpstr>UPFRONT 30 YRS -FSI-2 @ 50% con</vt:lpstr>
      <vt:lpstr>UPFRONT 60 YRS-FSI-2-50%-con</vt:lpstr>
      <vt:lpstr>UPFRONT 30 YRS-FSI-2-50%-co (2</vt:lpstr>
      <vt:lpstr>30 years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Ayush Prasad</cp:lastModifiedBy>
  <dcterms:created xsi:type="dcterms:W3CDTF">2022-07-19T11:23:00Z</dcterms:created>
  <cp:lastPrinted>2026-04-20T12:33:00Z</cp:lastPrinted>
  <dcterms:modified xsi:type="dcterms:W3CDTF">2026-08-09T16:40:36Z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7BE06CC5553542D19EA4F71D469E845A_12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